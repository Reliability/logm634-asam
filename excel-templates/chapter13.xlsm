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3.bin" ContentType="application/vnd.openxmlformats-officedocument.oleObject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ubur\github\reliability\courses\logm634-asam\excel-templates\"/>
    </mc:Choice>
  </mc:AlternateContent>
  <bookViews>
    <workbookView xWindow="120" yWindow="96" windowWidth="15132" windowHeight="7620" activeTab="2"/>
  </bookViews>
  <sheets>
    <sheet name="test-time" sheetId="5" r:id="rId1"/>
    <sheet name="burn-in #1" sheetId="4" r:id="rId2"/>
    <sheet name="burn-in #2" sheetId="1" r:id="rId3"/>
    <sheet name="Binomial Acceptance" sheetId="6" r:id="rId4"/>
  </sheets>
  <definedNames>
    <definedName name="solver_adj" localSheetId="1" hidden="1">'burn-in #1'!$F$4</definedName>
    <definedName name="solver_adj" localSheetId="2" hidden="1">'burn-in #2'!$D$6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in" localSheetId="1" hidden="1">2</definedName>
    <definedName name="solver_lin" localSheetId="2" hidden="1">2</definedName>
    <definedName name="solver_neg" localSheetId="1" hidden="1">1</definedName>
    <definedName name="solver_neg" localSheetId="2" hidden="1">2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'burn-in #1'!$H$4</definedName>
    <definedName name="solver_opt" localSheetId="2" hidden="1">'burn-in #2'!$D$7</definedName>
    <definedName name="solver_pre" localSheetId="1" hidden="1">0.000001</definedName>
    <definedName name="solver_pre" localSheetId="2" hidden="1">0.000001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</definedNames>
  <calcPr calcId="171027"/>
</workbook>
</file>

<file path=xl/calcChain.xml><?xml version="1.0" encoding="utf-8"?>
<calcChain xmlns="http://schemas.openxmlformats.org/spreadsheetml/2006/main">
  <c r="C9" i="6" l="1"/>
  <c r="B10" i="6"/>
  <c r="C10" i="6" s="1"/>
  <c r="G5" i="6"/>
  <c r="F5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F4" i="5"/>
  <c r="E4" i="5"/>
  <c r="A10" i="1"/>
  <c r="A11" i="1" s="1"/>
  <c r="E6" i="1"/>
  <c r="D7" i="1"/>
  <c r="F7" i="1" s="1"/>
  <c r="E9" i="1"/>
  <c r="C10" i="1"/>
  <c r="D10" i="1"/>
  <c r="D9" i="1"/>
  <c r="C9" i="1"/>
  <c r="B9" i="1"/>
  <c r="H5" i="1"/>
  <c r="F5" i="4"/>
  <c r="A6" i="4"/>
  <c r="B7" i="4" s="1"/>
  <c r="G4" i="4"/>
  <c r="H4" i="4"/>
  <c r="D11" i="1"/>
  <c r="H5" i="4"/>
  <c r="I5" i="4" s="1"/>
  <c r="D7" i="4"/>
  <c r="C6" i="4"/>
  <c r="B11" i="6"/>
  <c r="C11" i="6" l="1"/>
  <c r="B12" i="6"/>
  <c r="B8" i="4"/>
  <c r="C7" i="4"/>
  <c r="A12" i="1"/>
  <c r="E11" i="1"/>
  <c r="C11" i="1"/>
  <c r="E10" i="1"/>
  <c r="B10" i="1" s="1"/>
  <c r="B11" i="1" l="1"/>
  <c r="C12" i="1"/>
  <c r="D12" i="1"/>
  <c r="E12" i="1"/>
  <c r="A13" i="1"/>
  <c r="D8" i="4"/>
  <c r="B9" i="4"/>
  <c r="C8" i="4"/>
  <c r="C12" i="6"/>
  <c r="B13" i="6"/>
  <c r="D9" i="4" l="1"/>
  <c r="B10" i="4"/>
  <c r="C9" i="4"/>
  <c r="E13" i="1"/>
  <c r="A14" i="1"/>
  <c r="C13" i="1"/>
  <c r="D13" i="1"/>
  <c r="B14" i="6"/>
  <c r="C13" i="6"/>
  <c r="B12" i="1"/>
  <c r="B13" i="1" l="1"/>
  <c r="A15" i="1"/>
  <c r="C14" i="1"/>
  <c r="D14" i="1"/>
  <c r="E14" i="1"/>
  <c r="C14" i="6"/>
  <c r="B15" i="6"/>
  <c r="C10" i="4"/>
  <c r="B11" i="4"/>
  <c r="D10" i="4"/>
  <c r="C15" i="6" l="1"/>
  <c r="B16" i="6"/>
  <c r="B14" i="1"/>
  <c r="A16" i="1"/>
  <c r="C15" i="1"/>
  <c r="D15" i="1"/>
  <c r="E15" i="1"/>
  <c r="B12" i="4"/>
  <c r="D11" i="4"/>
  <c r="C11" i="4"/>
  <c r="D12" i="4" l="1"/>
  <c r="B13" i="4"/>
  <c r="C12" i="4"/>
  <c r="A17" i="1"/>
  <c r="C16" i="1"/>
  <c r="D16" i="1"/>
  <c r="E16" i="1"/>
  <c r="B15" i="1"/>
  <c r="C16" i="6"/>
  <c r="B17" i="6"/>
  <c r="B16" i="1" l="1"/>
  <c r="A18" i="1"/>
  <c r="C17" i="1"/>
  <c r="D17" i="1"/>
  <c r="E17" i="1"/>
  <c r="C17" i="6"/>
  <c r="B18" i="6"/>
  <c r="B14" i="4"/>
  <c r="C13" i="4"/>
  <c r="D13" i="4"/>
  <c r="C18" i="6" l="1"/>
  <c r="B19" i="6"/>
  <c r="B17" i="1"/>
  <c r="B15" i="4"/>
  <c r="D14" i="4"/>
  <c r="C14" i="4"/>
  <c r="A19" i="1"/>
  <c r="C18" i="1"/>
  <c r="D18" i="1"/>
  <c r="E18" i="1"/>
  <c r="A20" i="1" l="1"/>
  <c r="C19" i="1"/>
  <c r="D19" i="1"/>
  <c r="E19" i="1"/>
  <c r="B16" i="4"/>
  <c r="C15" i="4"/>
  <c r="D15" i="4"/>
  <c r="B18" i="1"/>
  <c r="C19" i="6"/>
  <c r="B20" i="6"/>
  <c r="B17" i="4" l="1"/>
  <c r="D16" i="4"/>
  <c r="C16" i="4"/>
  <c r="C20" i="6"/>
  <c r="B21" i="6"/>
  <c r="B19" i="1"/>
  <c r="A21" i="1"/>
  <c r="C20" i="1"/>
  <c r="B20" i="1" s="1"/>
  <c r="D20" i="1"/>
  <c r="E20" i="1"/>
  <c r="A22" i="1" l="1"/>
  <c r="C21" i="1"/>
  <c r="D21" i="1"/>
  <c r="E21" i="1"/>
  <c r="C21" i="6"/>
  <c r="B22" i="6"/>
  <c r="B18" i="4"/>
  <c r="D17" i="4"/>
  <c r="C17" i="4"/>
  <c r="C22" i="6" l="1"/>
  <c r="B23" i="6"/>
  <c r="B19" i="4"/>
  <c r="C18" i="4"/>
  <c r="D18" i="4"/>
  <c r="B21" i="1"/>
  <c r="A23" i="1"/>
  <c r="C22" i="1"/>
  <c r="D22" i="1"/>
  <c r="E22" i="1"/>
  <c r="B22" i="1" l="1"/>
  <c r="A24" i="1"/>
  <c r="C23" i="1"/>
  <c r="D23" i="1"/>
  <c r="E23" i="1"/>
  <c r="B20" i="4"/>
  <c r="D19" i="4"/>
  <c r="C19" i="4"/>
  <c r="C23" i="6"/>
  <c r="B24" i="6"/>
  <c r="B21" i="4" l="1"/>
  <c r="D20" i="4"/>
  <c r="C20" i="4"/>
  <c r="B23" i="1"/>
  <c r="C24" i="6"/>
  <c r="B25" i="6"/>
  <c r="A25" i="1"/>
  <c r="C24" i="1"/>
  <c r="B24" i="1" s="1"/>
  <c r="D24" i="1"/>
  <c r="E24" i="1"/>
  <c r="A26" i="1" l="1"/>
  <c r="C25" i="1"/>
  <c r="D25" i="1"/>
  <c r="E25" i="1"/>
  <c r="C25" i="6"/>
  <c r="B26" i="6"/>
  <c r="B22" i="4"/>
  <c r="D21" i="4"/>
  <c r="C21" i="4"/>
  <c r="B23" i="4" l="1"/>
  <c r="C22" i="4"/>
  <c r="D22" i="4"/>
  <c r="C26" i="6"/>
  <c r="B27" i="6"/>
  <c r="B25" i="1"/>
  <c r="A27" i="1"/>
  <c r="C26" i="1"/>
  <c r="B26" i="1" s="1"/>
  <c r="D26" i="1"/>
  <c r="E26" i="1"/>
  <c r="A28" i="1" l="1"/>
  <c r="C27" i="1"/>
  <c r="D27" i="1"/>
  <c r="E27" i="1"/>
  <c r="B28" i="6"/>
  <c r="C27" i="6"/>
  <c r="B24" i="4"/>
  <c r="C23" i="4"/>
  <c r="D23" i="4"/>
  <c r="B25" i="4" l="1"/>
  <c r="D24" i="4"/>
  <c r="C24" i="4"/>
  <c r="C28" i="6"/>
  <c r="B29" i="6"/>
  <c r="B27" i="1"/>
  <c r="A29" i="1"/>
  <c r="C28" i="1"/>
  <c r="B28" i="1" s="1"/>
  <c r="D28" i="1"/>
  <c r="E28" i="1"/>
  <c r="A30" i="1" l="1"/>
  <c r="C29" i="1"/>
  <c r="D29" i="1"/>
  <c r="E29" i="1"/>
  <c r="C29" i="6"/>
  <c r="B30" i="6"/>
  <c r="B26" i="4"/>
  <c r="D25" i="4"/>
  <c r="C25" i="4"/>
  <c r="B29" i="1" l="1"/>
  <c r="B27" i="4"/>
  <c r="C26" i="4"/>
  <c r="D26" i="4"/>
  <c r="C30" i="6"/>
  <c r="B31" i="6"/>
  <c r="A31" i="1"/>
  <c r="C30" i="1"/>
  <c r="B30" i="1" s="1"/>
  <c r="D30" i="1"/>
  <c r="E30" i="1"/>
  <c r="A32" i="1" l="1"/>
  <c r="C31" i="1"/>
  <c r="D31" i="1"/>
  <c r="E31" i="1"/>
  <c r="C31" i="6"/>
  <c r="B32" i="6"/>
  <c r="B28" i="4"/>
  <c r="D27" i="4"/>
  <c r="C27" i="4"/>
  <c r="B31" i="1" l="1"/>
  <c r="B29" i="4"/>
  <c r="D28" i="4"/>
  <c r="C28" i="4"/>
  <c r="C32" i="6"/>
  <c r="B33" i="6"/>
  <c r="A33" i="1"/>
  <c r="C32" i="1"/>
  <c r="D32" i="1"/>
  <c r="E32" i="1"/>
  <c r="B32" i="1" l="1"/>
  <c r="A34" i="1"/>
  <c r="C33" i="1"/>
  <c r="D33" i="1"/>
  <c r="E33" i="1"/>
  <c r="C33" i="6"/>
  <c r="B34" i="6"/>
  <c r="B30" i="4"/>
  <c r="D29" i="4"/>
  <c r="C29" i="4"/>
  <c r="B31" i="4" l="1"/>
  <c r="C30" i="4"/>
  <c r="D30" i="4"/>
  <c r="C34" i="6"/>
  <c r="B35" i="6"/>
  <c r="B33" i="1"/>
  <c r="A35" i="1"/>
  <c r="C34" i="1"/>
  <c r="D34" i="1"/>
  <c r="E34" i="1"/>
  <c r="B34" i="1" l="1"/>
  <c r="A36" i="1"/>
  <c r="C35" i="1"/>
  <c r="D35" i="1"/>
  <c r="E35" i="1"/>
  <c r="B36" i="6"/>
  <c r="C35" i="6"/>
  <c r="B32" i="4"/>
  <c r="C31" i="4"/>
  <c r="D31" i="4"/>
  <c r="B33" i="4" l="1"/>
  <c r="D32" i="4"/>
  <c r="C32" i="4"/>
  <c r="C36" i="6"/>
  <c r="B37" i="6"/>
  <c r="B35" i="1"/>
  <c r="A37" i="1"/>
  <c r="C36" i="1"/>
  <c r="D36" i="1"/>
  <c r="E36" i="1"/>
  <c r="A38" i="1" l="1"/>
  <c r="C37" i="1"/>
  <c r="D37" i="1"/>
  <c r="E37" i="1"/>
  <c r="C33" i="4"/>
  <c r="B34" i="4"/>
  <c r="D33" i="4"/>
  <c r="B36" i="1"/>
  <c r="C37" i="6"/>
  <c r="B38" i="6"/>
  <c r="A39" i="1" l="1"/>
  <c r="C38" i="1"/>
  <c r="D38" i="1"/>
  <c r="E38" i="1"/>
  <c r="C34" i="4"/>
  <c r="D34" i="4"/>
  <c r="B35" i="4"/>
  <c r="C38" i="6"/>
  <c r="B39" i="6"/>
  <c r="C39" i="6" s="1"/>
  <c r="B37" i="1"/>
  <c r="C35" i="4" l="1"/>
  <c r="B36" i="4"/>
  <c r="D35" i="4"/>
  <c r="B38" i="1"/>
  <c r="A40" i="1"/>
  <c r="C39" i="1"/>
  <c r="D39" i="1"/>
  <c r="E39" i="1"/>
  <c r="B39" i="1" l="1"/>
  <c r="A41" i="1"/>
  <c r="C40" i="1"/>
  <c r="D40" i="1"/>
  <c r="E40" i="1"/>
  <c r="C36" i="4"/>
  <c r="B37" i="4"/>
  <c r="D36" i="4"/>
  <c r="C37" i="4" l="1"/>
  <c r="B38" i="4"/>
  <c r="D37" i="4"/>
  <c r="B40" i="1"/>
  <c r="A42" i="1"/>
  <c r="C41" i="1"/>
  <c r="D41" i="1"/>
  <c r="E41" i="1"/>
  <c r="B41" i="1" l="1"/>
  <c r="A43" i="1"/>
  <c r="C42" i="1"/>
  <c r="D42" i="1"/>
  <c r="E42" i="1"/>
  <c r="C38" i="4"/>
  <c r="D38" i="4"/>
  <c r="B39" i="4"/>
  <c r="C39" i="4" l="1"/>
  <c r="D39" i="4"/>
  <c r="B40" i="4"/>
  <c r="B42" i="1"/>
  <c r="A44" i="1"/>
  <c r="C43" i="1"/>
  <c r="D43" i="1"/>
  <c r="E43" i="1"/>
  <c r="A45" i="1" l="1"/>
  <c r="C44" i="1"/>
  <c r="D44" i="1"/>
  <c r="E44" i="1"/>
  <c r="B43" i="1"/>
  <c r="C40" i="4"/>
  <c r="B41" i="4"/>
  <c r="D40" i="4"/>
  <c r="B44" i="1" l="1"/>
  <c r="C41" i="4"/>
  <c r="B42" i="4"/>
  <c r="D41" i="4"/>
  <c r="A46" i="1"/>
  <c r="C45" i="1"/>
  <c r="D45" i="1"/>
  <c r="E45" i="1"/>
  <c r="A47" i="1" l="1"/>
  <c r="C46" i="1"/>
  <c r="D46" i="1"/>
  <c r="E46" i="1"/>
  <c r="B45" i="1"/>
  <c r="C42" i="4"/>
  <c r="D42" i="4"/>
  <c r="B43" i="4"/>
  <c r="C43" i="4" l="1"/>
  <c r="D43" i="4"/>
  <c r="B44" i="4"/>
  <c r="B46" i="1"/>
  <c r="A48" i="1"/>
  <c r="C47" i="1"/>
  <c r="D47" i="1"/>
  <c r="E47" i="1"/>
  <c r="B47" i="1" l="1"/>
  <c r="A49" i="1"/>
  <c r="C48" i="1"/>
  <c r="D48" i="1"/>
  <c r="E48" i="1"/>
  <c r="C44" i="4"/>
  <c r="B45" i="4"/>
  <c r="D44" i="4"/>
  <c r="C45" i="4" l="1"/>
  <c r="B46" i="4"/>
  <c r="D45" i="4"/>
  <c r="B48" i="1"/>
  <c r="A50" i="1"/>
  <c r="C49" i="1"/>
  <c r="D49" i="1"/>
  <c r="E49" i="1"/>
  <c r="B49" i="1" l="1"/>
  <c r="A51" i="1"/>
  <c r="C50" i="1"/>
  <c r="D50" i="1"/>
  <c r="E50" i="1"/>
  <c r="C46" i="4"/>
  <c r="D46" i="4"/>
  <c r="B47" i="4"/>
  <c r="C47" i="4" l="1"/>
  <c r="B48" i="4"/>
  <c r="D47" i="4"/>
  <c r="A52" i="1"/>
  <c r="C51" i="1"/>
  <c r="D51" i="1"/>
  <c r="E51" i="1"/>
  <c r="B50" i="1"/>
  <c r="C48" i="4" l="1"/>
  <c r="B49" i="4"/>
  <c r="D48" i="4"/>
  <c r="B51" i="1"/>
  <c r="A53" i="1"/>
  <c r="C52" i="1"/>
  <c r="D52" i="1"/>
  <c r="E52" i="1"/>
  <c r="C49" i="4" l="1"/>
  <c r="B50" i="4"/>
  <c r="D49" i="4"/>
  <c r="B52" i="1"/>
  <c r="A54" i="1"/>
  <c r="C53" i="1"/>
  <c r="D53" i="1"/>
  <c r="E53" i="1"/>
  <c r="B53" i="1" l="1"/>
  <c r="A55" i="1"/>
  <c r="C54" i="1"/>
  <c r="D54" i="1"/>
  <c r="E54" i="1"/>
  <c r="C50" i="4"/>
  <c r="D50" i="4"/>
  <c r="B51" i="4"/>
  <c r="C51" i="4" l="1"/>
  <c r="D51" i="4"/>
  <c r="B52" i="4"/>
  <c r="B54" i="1"/>
  <c r="A56" i="1"/>
  <c r="C55" i="1"/>
  <c r="D55" i="1"/>
  <c r="E55" i="1"/>
  <c r="A57" i="1" l="1"/>
  <c r="D56" i="1"/>
  <c r="E56" i="1"/>
  <c r="C56" i="1"/>
  <c r="B55" i="1"/>
  <c r="C52" i="4"/>
  <c r="B53" i="4"/>
  <c r="D52" i="4"/>
  <c r="B56" i="1" l="1"/>
  <c r="C53" i="4"/>
  <c r="B54" i="4"/>
  <c r="D53" i="4"/>
  <c r="A58" i="1"/>
  <c r="D57" i="1"/>
  <c r="E57" i="1"/>
  <c r="C57" i="1"/>
  <c r="B57" i="1" l="1"/>
  <c r="A59" i="1"/>
  <c r="D58" i="1"/>
  <c r="E58" i="1"/>
  <c r="C58" i="1"/>
  <c r="C54" i="4"/>
  <c r="D54" i="4"/>
  <c r="B55" i="4"/>
  <c r="B56" i="4" l="1"/>
  <c r="D55" i="4"/>
  <c r="C55" i="4"/>
  <c r="B58" i="1"/>
  <c r="A60" i="1"/>
  <c r="D59" i="1"/>
  <c r="E59" i="1"/>
  <c r="C59" i="1"/>
  <c r="C56" i="4" l="1"/>
  <c r="B57" i="4"/>
  <c r="D56" i="4"/>
  <c r="B59" i="1"/>
  <c r="A61" i="1"/>
  <c r="D60" i="1"/>
  <c r="E60" i="1"/>
  <c r="C60" i="1"/>
  <c r="C57" i="4" l="1"/>
  <c r="B58" i="4"/>
  <c r="D57" i="4"/>
  <c r="B60" i="1"/>
  <c r="A62" i="1"/>
  <c r="D61" i="1"/>
  <c r="E61" i="1"/>
  <c r="C61" i="1"/>
  <c r="B61" i="1" l="1"/>
  <c r="A63" i="1"/>
  <c r="D62" i="1"/>
  <c r="E62" i="1"/>
  <c r="C62" i="1"/>
  <c r="C58" i="4"/>
  <c r="D58" i="4"/>
  <c r="B59" i="4"/>
  <c r="C59" i="4" l="1"/>
  <c r="B60" i="4"/>
  <c r="D59" i="4"/>
  <c r="B62" i="1"/>
  <c r="A64" i="1"/>
  <c r="D63" i="1"/>
  <c r="E63" i="1"/>
  <c r="C63" i="1"/>
  <c r="B63" i="1" l="1"/>
  <c r="C60" i="4"/>
  <c r="D60" i="4"/>
  <c r="B61" i="4"/>
  <c r="A65" i="1"/>
  <c r="D64" i="1"/>
  <c r="E64" i="1"/>
  <c r="C64" i="1"/>
  <c r="B64" i="1" l="1"/>
  <c r="A66" i="1"/>
  <c r="D65" i="1"/>
  <c r="E65" i="1"/>
  <c r="C65" i="1"/>
  <c r="C61" i="4"/>
  <c r="B62" i="4"/>
  <c r="D61" i="4"/>
  <c r="A67" i="1" l="1"/>
  <c r="D66" i="1"/>
  <c r="E66" i="1"/>
  <c r="C66" i="1"/>
  <c r="C62" i="4"/>
  <c r="D62" i="4"/>
  <c r="B63" i="4"/>
  <c r="B65" i="1"/>
  <c r="A68" i="1" l="1"/>
  <c r="D67" i="1"/>
  <c r="E67" i="1"/>
  <c r="C67" i="1"/>
  <c r="C63" i="4"/>
  <c r="B64" i="4"/>
  <c r="D63" i="4"/>
  <c r="B66" i="1"/>
  <c r="A69" i="1" l="1"/>
  <c r="D68" i="1"/>
  <c r="E68" i="1"/>
  <c r="C68" i="1"/>
  <c r="C64" i="4"/>
  <c r="B65" i="4"/>
  <c r="D64" i="4"/>
  <c r="B67" i="1"/>
  <c r="A70" i="1" l="1"/>
  <c r="D69" i="1"/>
  <c r="E69" i="1"/>
  <c r="C69" i="1"/>
  <c r="C65" i="4"/>
  <c r="B66" i="4"/>
  <c r="D65" i="4"/>
  <c r="B68" i="1"/>
  <c r="C66" i="4" l="1"/>
  <c r="D66" i="4"/>
  <c r="B67" i="4"/>
  <c r="B69" i="1"/>
  <c r="A71" i="1"/>
  <c r="D70" i="1"/>
  <c r="E70" i="1"/>
  <c r="C70" i="1"/>
  <c r="B70" i="1" l="1"/>
  <c r="A72" i="1"/>
  <c r="D71" i="1"/>
  <c r="E71" i="1"/>
  <c r="C71" i="1"/>
  <c r="C67" i="4"/>
  <c r="B68" i="4"/>
  <c r="D67" i="4"/>
  <c r="C68" i="4" l="1"/>
  <c r="D68" i="4"/>
  <c r="B69" i="4"/>
  <c r="B71" i="1"/>
  <c r="A73" i="1"/>
  <c r="D72" i="1"/>
  <c r="E72" i="1"/>
  <c r="C72" i="1"/>
  <c r="B72" i="1" l="1"/>
  <c r="A74" i="1"/>
  <c r="D73" i="1"/>
  <c r="E73" i="1"/>
  <c r="C73" i="1"/>
  <c r="C69" i="4"/>
  <c r="B70" i="4"/>
  <c r="D69" i="4"/>
  <c r="C70" i="4" l="1"/>
  <c r="D70" i="4"/>
  <c r="B71" i="4"/>
  <c r="B73" i="1"/>
  <c r="A75" i="1"/>
  <c r="D74" i="1"/>
  <c r="E74" i="1"/>
  <c r="C74" i="1"/>
  <c r="B74" i="1" l="1"/>
  <c r="A76" i="1"/>
  <c r="D75" i="1"/>
  <c r="E75" i="1"/>
  <c r="C75" i="1"/>
  <c r="C71" i="4"/>
  <c r="B72" i="4"/>
  <c r="D71" i="4"/>
  <c r="C72" i="4" l="1"/>
  <c r="B73" i="4"/>
  <c r="D72" i="4"/>
  <c r="B75" i="1"/>
  <c r="A77" i="1"/>
  <c r="D76" i="1"/>
  <c r="E76" i="1"/>
  <c r="C76" i="1"/>
  <c r="B76" i="1" l="1"/>
  <c r="A78" i="1"/>
  <c r="D77" i="1"/>
  <c r="E77" i="1"/>
  <c r="C77" i="1"/>
  <c r="C73" i="4"/>
  <c r="B74" i="4"/>
  <c r="D73" i="4"/>
  <c r="B77" i="1" l="1"/>
  <c r="C74" i="4"/>
  <c r="D74" i="4"/>
  <c r="B75" i="4"/>
  <c r="A79" i="1"/>
  <c r="D78" i="1"/>
  <c r="E78" i="1"/>
  <c r="C78" i="1"/>
  <c r="B78" i="1" l="1"/>
  <c r="A80" i="1"/>
  <c r="D79" i="1"/>
  <c r="E79" i="1"/>
  <c r="C79" i="1"/>
  <c r="C75" i="4"/>
  <c r="B76" i="4"/>
  <c r="D75" i="4"/>
  <c r="C76" i="4" l="1"/>
  <c r="B77" i="4"/>
  <c r="D76" i="4"/>
  <c r="A81" i="1"/>
  <c r="D80" i="1"/>
  <c r="E80" i="1"/>
  <c r="C80" i="1"/>
  <c r="B79" i="1"/>
  <c r="B80" i="1" l="1"/>
  <c r="D81" i="1"/>
  <c r="E81" i="1"/>
  <c r="C81" i="1"/>
  <c r="C77" i="4"/>
  <c r="B78" i="4"/>
  <c r="D77" i="4"/>
  <c r="C78" i="4" l="1"/>
  <c r="D78" i="4"/>
  <c r="B79" i="4"/>
  <c r="B81" i="1"/>
  <c r="C79" i="4" l="1"/>
  <c r="B80" i="4"/>
  <c r="D79" i="4"/>
  <c r="C80" i="4" l="1"/>
  <c r="B81" i="4"/>
  <c r="D80" i="4"/>
  <c r="C81" i="4" l="1"/>
  <c r="B82" i="4"/>
  <c r="D81" i="4"/>
  <c r="B83" i="4" l="1"/>
  <c r="C82" i="4"/>
  <c r="D82" i="4"/>
  <c r="C83" i="4" l="1"/>
  <c r="B84" i="4"/>
  <c r="D83" i="4"/>
  <c r="C84" i="4" l="1"/>
  <c r="D84" i="4"/>
  <c r="B85" i="4"/>
  <c r="C85" i="4" l="1"/>
  <c r="B86" i="4"/>
  <c r="D85" i="4"/>
  <c r="D86" i="4" l="1"/>
  <c r="B87" i="4"/>
  <c r="C86" i="4"/>
  <c r="B88" i="4" l="1"/>
  <c r="C87" i="4"/>
  <c r="D87" i="4"/>
  <c r="B89" i="4" l="1"/>
  <c r="C88" i="4"/>
  <c r="D88" i="4"/>
  <c r="B90" i="4" l="1"/>
  <c r="C89" i="4"/>
  <c r="D89" i="4"/>
  <c r="C90" i="4" l="1"/>
  <c r="B91" i="4"/>
  <c r="D90" i="4"/>
  <c r="D91" i="4" l="1"/>
  <c r="C91" i="4"/>
  <c r="B92" i="4"/>
  <c r="C92" i="4" l="1"/>
  <c r="D92" i="4"/>
  <c r="B93" i="4"/>
  <c r="D93" i="4" l="1"/>
  <c r="C93" i="4"/>
  <c r="B94" i="4"/>
  <c r="D94" i="4" l="1"/>
  <c r="C94" i="4"/>
  <c r="B95" i="4"/>
  <c r="B96" i="4" l="1"/>
  <c r="D95" i="4"/>
  <c r="C95" i="4"/>
  <c r="B97" i="4" l="1"/>
  <c r="C96" i="4"/>
  <c r="D96" i="4"/>
  <c r="B98" i="4" l="1"/>
  <c r="C97" i="4"/>
  <c r="D97" i="4"/>
  <c r="C98" i="4" l="1"/>
  <c r="D98" i="4"/>
  <c r="B99" i="4"/>
  <c r="C99" i="4" l="1"/>
  <c r="D99" i="4"/>
  <c r="B100" i="4"/>
  <c r="C100" i="4" l="1"/>
  <c r="D100" i="4"/>
  <c r="B101" i="4"/>
  <c r="C101" i="4" l="1"/>
  <c r="B102" i="4"/>
  <c r="D101" i="4"/>
  <c r="D102" i="4" l="1"/>
  <c r="B103" i="4"/>
  <c r="C102" i="4"/>
  <c r="B104" i="4" l="1"/>
  <c r="D103" i="4"/>
  <c r="C103" i="4"/>
  <c r="B105" i="4" l="1"/>
  <c r="D104" i="4"/>
  <c r="C104" i="4"/>
  <c r="D105" i="4" l="1"/>
  <c r="C105" i="4"/>
</calcChain>
</file>

<file path=xl/sharedStrings.xml><?xml version="1.0" encoding="utf-8"?>
<sst xmlns="http://schemas.openxmlformats.org/spreadsheetml/2006/main" count="67" uniqueCount="56">
  <si>
    <t>Section 13.4 Burn-in Testing Specification Model</t>
  </si>
  <si>
    <t>Section 13.4 Burn-in Testing Cost Model</t>
  </si>
  <si>
    <t>Weibull failure distribution</t>
  </si>
  <si>
    <t xml:space="preserve">q = </t>
  </si>
  <si>
    <t>Specification</t>
  </si>
  <si>
    <t>Burn-in Time</t>
  </si>
  <si>
    <t xml:space="preserve">1 &gt; b = </t>
  </si>
  <si>
    <t>R(t)</t>
  </si>
  <si>
    <t>t</t>
  </si>
  <si>
    <t>R(t|T)</t>
  </si>
  <si>
    <t>Run Solver to get T*</t>
  </si>
  <si>
    <t>increment</t>
  </si>
  <si>
    <t xml:space="preserve">R(T) = </t>
  </si>
  <si>
    <t xml:space="preserve">R(t0|T) = </t>
  </si>
  <si>
    <t xml:space="preserve">T=Burn-in Time </t>
  </si>
  <si>
    <t xml:space="preserve">reliability R0 = </t>
  </si>
  <si>
    <t xml:space="preserve">at time t0 = </t>
  </si>
  <si>
    <t>Cb = cost per unit of time for burn-in testing</t>
  </si>
  <si>
    <t>Cr = cost per failure during burn-in</t>
  </si>
  <si>
    <t>Co = cost per failure during operation</t>
  </si>
  <si>
    <t>t = operational life of units</t>
  </si>
  <si>
    <t>T = length of burn-in testing</t>
  </si>
  <si>
    <t>days</t>
  </si>
  <si>
    <t>Expected cost per unit</t>
  </si>
  <si>
    <t>cost burn-in</t>
  </si>
  <si>
    <t>cost burn-in failures</t>
  </si>
  <si>
    <t>cost operational failures</t>
  </si>
  <si>
    <t>for T*</t>
  </si>
  <si>
    <t>Total Expected Cost per unit</t>
  </si>
  <si>
    <t>savings</t>
  </si>
  <si>
    <t>per unit</t>
  </si>
  <si>
    <t>Run Solver</t>
  </si>
  <si>
    <t>MTTF =</t>
  </si>
  <si>
    <t>n</t>
  </si>
  <si>
    <t>r</t>
  </si>
  <si>
    <t>w/o replacement</t>
  </si>
  <si>
    <t>with replacement</t>
  </si>
  <si>
    <t>Section 13.3 Test Time Calculations - CFR Assumed</t>
  </si>
  <si>
    <r>
      <t>TTF</t>
    </r>
    <r>
      <rPr>
        <vertAlign val="subscript"/>
        <sz val="12"/>
        <color indexed="8"/>
        <rFont val="Times New Roman"/>
        <family val="1"/>
      </rPr>
      <t>n,r</t>
    </r>
  </si>
  <si>
    <t>n =</t>
  </si>
  <si>
    <t>For n &gt; 20, run macro ctrl-shift-T</t>
  </si>
  <si>
    <t>n = number at risk, r = number of failures to be generated</t>
  </si>
  <si>
    <t>Expected test time</t>
  </si>
  <si>
    <t>Section 13.5.1 Binomial Acceptance Testing</t>
  </si>
  <si>
    <t>R1</t>
  </si>
  <si>
    <t>R2</t>
  </si>
  <si>
    <t>b</t>
  </si>
  <si>
    <t>1-a</t>
  </si>
  <si>
    <t>R(T) = R1 is the desired reliability</t>
  </si>
  <si>
    <t>If R(T) = R2 &lt; R1 then wish to reject</t>
  </si>
  <si>
    <t>g(T)</t>
  </si>
  <si>
    <t>g(T)^2</t>
  </si>
  <si>
    <t>OC Curve</t>
  </si>
  <si>
    <t>Prob failure</t>
  </si>
  <si>
    <t>increment =</t>
  </si>
  <si>
    <t>Prob accept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</si>
</sst>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0"/>
    <numFmt numFmtId="176" formatCode="0.0000"/>
    <numFmt numFmtId="177" formatCode="0.000"/>
    <numFmt numFmtId="178" formatCode="&quot;$&quot;#,##0"/>
    <numFmt numFmtId="179" formatCode="0.0"/>
  </numFmts>
  <fonts count="13" x14ac:knownFonts="1">
    <font>
      <sz val="10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1"/>
      <name val="Symbol"/>
      <family val="1"/>
      <charset val="2"/>
    </font>
    <font>
      <vertAlign val="subscript"/>
      <sz val="12"/>
      <color indexed="8"/>
      <name val="Times New Roman"/>
      <family val="1"/>
    </font>
    <font>
      <b/>
      <sz val="10"/>
      <color theme="1"/>
      <name val="Arial"/>
      <family val="2"/>
    </font>
    <font>
      <b/>
      <sz val="12"/>
      <color rgb="FFFF0000"/>
      <name val="Arial"/>
      <family val="2"/>
    </font>
    <font>
      <sz val="11"/>
      <color theme="1"/>
      <name val="Times New Roman"/>
      <family val="1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sz val="11"/>
      <color theme="1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7DD9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7">
    <xf numFmtId="0" fontId="0" fillId="0" borderId="0" xfId="0"/>
    <xf numFmtId="0" fontId="1" fillId="0" borderId="0" xfId="1"/>
    <xf numFmtId="0" fontId="1" fillId="0" borderId="0" xfId="1" applyFill="1"/>
    <xf numFmtId="0" fontId="1" fillId="2" borderId="1" xfId="1" applyFill="1" applyBorder="1"/>
    <xf numFmtId="0" fontId="3" fillId="2" borderId="2" xfId="1" applyFont="1" applyFill="1" applyBorder="1"/>
    <xf numFmtId="0" fontId="1" fillId="2" borderId="2" xfId="1" applyFill="1" applyBorder="1"/>
    <xf numFmtId="0" fontId="1" fillId="2" borderId="3" xfId="1" applyFill="1" applyBorder="1"/>
    <xf numFmtId="0" fontId="1" fillId="2" borderId="4" xfId="1" applyFill="1" applyBorder="1"/>
    <xf numFmtId="0" fontId="3" fillId="2" borderId="5" xfId="1" applyFont="1" applyFill="1" applyBorder="1"/>
    <xf numFmtId="0" fontId="1" fillId="2" borderId="5" xfId="1" applyFill="1" applyBorder="1"/>
    <xf numFmtId="164" fontId="1" fillId="3" borderId="1" xfId="1" applyNumberFormat="1" applyFill="1" applyBorder="1"/>
    <xf numFmtId="164" fontId="1" fillId="3" borderId="3" xfId="1" applyNumberFormat="1" applyFill="1" applyBorder="1"/>
    <xf numFmtId="177" fontId="1" fillId="4" borderId="6" xfId="1" applyNumberFormat="1" applyFill="1" applyBorder="1" applyAlignment="1">
      <alignment horizontal="center"/>
    </xf>
    <xf numFmtId="0" fontId="1" fillId="4" borderId="7" xfId="1" applyFill="1" applyBorder="1" applyAlignment="1">
      <alignment horizontal="right"/>
    </xf>
    <xf numFmtId="0" fontId="1" fillId="4" borderId="6" xfId="1" applyFill="1" applyBorder="1" applyAlignment="1">
      <alignment horizontal="center"/>
    </xf>
    <xf numFmtId="0" fontId="1" fillId="4" borderId="3" xfId="1" applyFill="1" applyBorder="1" applyAlignment="1">
      <alignment horizontal="center"/>
    </xf>
    <xf numFmtId="0" fontId="7" fillId="0" borderId="0" xfId="1" applyFont="1"/>
    <xf numFmtId="0" fontId="1" fillId="4" borderId="1" xfId="1" applyFill="1" applyBorder="1" applyAlignment="1">
      <alignment horizontal="right"/>
    </xf>
    <xf numFmtId="178" fontId="0" fillId="0" borderId="0" xfId="0" applyNumberFormat="1"/>
    <xf numFmtId="0" fontId="0" fillId="3" borderId="8" xfId="0" applyFill="1" applyBorder="1"/>
    <xf numFmtId="178" fontId="0" fillId="3" borderId="7" xfId="0" applyNumberFormat="1" applyFill="1" applyBorder="1"/>
    <xf numFmtId="178" fontId="0" fillId="3" borderId="9" xfId="0" applyNumberFormat="1" applyFill="1" applyBorder="1"/>
    <xf numFmtId="0" fontId="0" fillId="3" borderId="10" xfId="0" applyFill="1" applyBorder="1"/>
    <xf numFmtId="0" fontId="0" fillId="3" borderId="4" xfId="0" applyFill="1" applyBorder="1" applyAlignment="1">
      <alignment horizontal="right"/>
    </xf>
    <xf numFmtId="0" fontId="8" fillId="0" borderId="0" xfId="0" applyFont="1" applyAlignment="1">
      <alignment horizontal="justify"/>
    </xf>
    <xf numFmtId="179" fontId="0" fillId="0" borderId="11" xfId="0" applyNumberFormat="1" applyBorder="1" applyAlignment="1">
      <alignment horizontal="center"/>
    </xf>
    <xf numFmtId="179" fontId="0" fillId="0" borderId="12" xfId="0" applyNumberFormat="1" applyBorder="1" applyAlignment="1">
      <alignment horizontal="center"/>
    </xf>
    <xf numFmtId="179" fontId="0" fillId="0" borderId="9" xfId="0" applyNumberFormat="1" applyBorder="1" applyAlignment="1">
      <alignment horizontal="center"/>
    </xf>
    <xf numFmtId="179" fontId="0" fillId="0" borderId="10" xfId="0" applyNumberFormat="1" applyBorder="1" applyAlignment="1">
      <alignment horizontal="center"/>
    </xf>
    <xf numFmtId="0" fontId="2" fillId="2" borderId="2" xfId="1" applyFont="1" applyFill="1" applyBorder="1"/>
    <xf numFmtId="0" fontId="8" fillId="0" borderId="0" xfId="0" applyFont="1" applyFill="1" applyBorder="1" applyAlignment="1">
      <alignment horizontal="justify"/>
    </xf>
    <xf numFmtId="177" fontId="0" fillId="0" borderId="0" xfId="0" applyNumberFormat="1"/>
    <xf numFmtId="179" fontId="0" fillId="0" borderId="0" xfId="0" applyNumberFormat="1"/>
    <xf numFmtId="0" fontId="9" fillId="5" borderId="1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2" fillId="5" borderId="13" xfId="1" applyFont="1" applyFill="1" applyBorder="1" applyAlignment="1">
      <alignment horizontal="center"/>
    </xf>
    <xf numFmtId="0" fontId="2" fillId="5" borderId="6" xfId="1" applyFont="1" applyFill="1" applyBorder="1" applyAlignment="1">
      <alignment horizontal="center"/>
    </xf>
    <xf numFmtId="177" fontId="2" fillId="5" borderId="7" xfId="1" applyNumberFormat="1" applyFont="1" applyFill="1" applyBorder="1"/>
    <xf numFmtId="0" fontId="0" fillId="5" borderId="7" xfId="0" applyFill="1" applyBorder="1"/>
    <xf numFmtId="178" fontId="0" fillId="5" borderId="13" xfId="0" applyNumberFormat="1" applyFill="1" applyBorder="1"/>
    <xf numFmtId="178" fontId="0" fillId="5" borderId="14" xfId="0" applyNumberFormat="1" applyFill="1" applyBorder="1"/>
    <xf numFmtId="0" fontId="0" fillId="5" borderId="14" xfId="0" applyFill="1" applyBorder="1"/>
    <xf numFmtId="0" fontId="0" fillId="5" borderId="6" xfId="0" applyFill="1" applyBorder="1"/>
    <xf numFmtId="0" fontId="9" fillId="5" borderId="11" xfId="0" applyFont="1" applyFill="1" applyBorder="1"/>
    <xf numFmtId="0" fontId="9" fillId="5" borderId="12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right"/>
    </xf>
    <xf numFmtId="0" fontId="10" fillId="5" borderId="3" xfId="0" applyFont="1" applyFill="1" applyBorder="1" applyAlignment="1">
      <alignment horizontal="center"/>
    </xf>
    <xf numFmtId="176" fontId="9" fillId="3" borderId="1" xfId="0" applyNumberFormat="1" applyFont="1" applyFill="1" applyBorder="1" applyAlignment="1">
      <alignment horizontal="center"/>
    </xf>
    <xf numFmtId="176" fontId="9" fillId="3" borderId="3" xfId="0" applyNumberFormat="1" applyFont="1" applyFill="1" applyBorder="1" applyAlignment="1">
      <alignment horizontal="center"/>
    </xf>
    <xf numFmtId="0" fontId="0" fillId="5" borderId="1" xfId="0" applyFill="1" applyBorder="1"/>
    <xf numFmtId="0" fontId="0" fillId="5" borderId="3" xfId="0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6" borderId="14" xfId="0" applyFill="1" applyBorder="1"/>
    <xf numFmtId="0" fontId="0" fillId="6" borderId="6" xfId="0" applyFill="1" applyBorder="1"/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justify"/>
    </xf>
    <xf numFmtId="0" fontId="11" fillId="6" borderId="3" xfId="0" applyFont="1" applyFill="1" applyBorder="1" applyAlignment="1">
      <alignment horizontal="justify"/>
    </xf>
    <xf numFmtId="0" fontId="0" fillId="6" borderId="1" xfId="0" applyFill="1" applyBorder="1"/>
    <xf numFmtId="0" fontId="0" fillId="6" borderId="2" xfId="0" applyFill="1" applyBorder="1" applyAlignment="1">
      <alignment horizontal="left"/>
    </xf>
    <xf numFmtId="0" fontId="0" fillId="6" borderId="3" xfId="0" applyFill="1" applyBorder="1"/>
    <xf numFmtId="0" fontId="6" fillId="6" borderId="1" xfId="0" applyFont="1" applyFill="1" applyBorder="1"/>
    <xf numFmtId="0" fontId="0" fillId="6" borderId="2" xfId="0" applyFill="1" applyBorder="1"/>
    <xf numFmtId="0" fontId="1" fillId="6" borderId="1" xfId="1" applyFill="1" applyBorder="1"/>
    <xf numFmtId="0" fontId="1" fillId="6" borderId="2" xfId="1" applyFill="1" applyBorder="1"/>
    <xf numFmtId="0" fontId="2" fillId="6" borderId="4" xfId="1" applyFont="1" applyFill="1" applyBorder="1"/>
    <xf numFmtId="0" fontId="4" fillId="6" borderId="11" xfId="1" applyFont="1" applyFill="1" applyBorder="1" applyAlignment="1">
      <alignment horizontal="right"/>
    </xf>
    <xf numFmtId="0" fontId="4" fillId="6" borderId="9" xfId="1" applyFont="1" applyFill="1" applyBorder="1" applyAlignment="1">
      <alignment horizontal="right"/>
    </xf>
    <xf numFmtId="0" fontId="2" fillId="6" borderId="8" xfId="1" applyFont="1" applyFill="1" applyBorder="1" applyAlignment="1">
      <alignment horizontal="right"/>
    </xf>
    <xf numFmtId="0" fontId="1" fillId="6" borderId="4" xfId="1" applyFill="1" applyBorder="1"/>
    <xf numFmtId="0" fontId="2" fillId="6" borderId="5" xfId="1" applyFont="1" applyFill="1" applyBorder="1"/>
    <xf numFmtId="0" fontId="2" fillId="6" borderId="8" xfId="1" applyFont="1" applyFill="1" applyBorder="1"/>
    <xf numFmtId="0" fontId="1" fillId="6" borderId="5" xfId="1" applyFill="1" applyBorder="1"/>
    <xf numFmtId="0" fontId="1" fillId="6" borderId="8" xfId="1" applyFill="1" applyBorder="1"/>
    <xf numFmtId="0" fontId="1" fillId="6" borderId="9" xfId="1" applyFill="1" applyBorder="1"/>
    <xf numFmtId="0" fontId="1" fillId="6" borderId="21" xfId="1" applyFill="1" applyBorder="1" applyAlignment="1">
      <alignment horizontal="center"/>
    </xf>
    <xf numFmtId="0" fontId="1" fillId="6" borderId="10" xfId="1" applyFill="1" applyBorder="1" applyAlignment="1">
      <alignment horizontal="center"/>
    </xf>
    <xf numFmtId="0" fontId="1" fillId="6" borderId="0" xfId="1" applyFill="1"/>
    <xf numFmtId="0" fontId="2" fillId="6" borderId="11" xfId="1" applyFont="1" applyFill="1" applyBorder="1" applyAlignment="1">
      <alignment horizontal="right"/>
    </xf>
    <xf numFmtId="0" fontId="2" fillId="6" borderId="9" xfId="1" applyFont="1" applyFill="1" applyBorder="1" applyAlignment="1">
      <alignment horizontal="right"/>
    </xf>
    <xf numFmtId="0" fontId="1" fillId="6" borderId="2" xfId="1" applyFill="1" applyBorder="1" applyAlignment="1">
      <alignment horizontal="center"/>
    </xf>
    <xf numFmtId="0" fontId="1" fillId="6" borderId="3" xfId="1" applyFill="1" applyBorder="1" applyAlignment="1">
      <alignment horizontal="center"/>
    </xf>
    <xf numFmtId="0" fontId="1" fillId="6" borderId="7" xfId="1" applyFill="1" applyBorder="1"/>
    <xf numFmtId="0" fontId="0" fillId="6" borderId="0" xfId="0" applyFill="1"/>
    <xf numFmtId="0" fontId="0" fillId="6" borderId="0" xfId="0" applyFill="1" applyAlignment="1">
      <alignment horizontal="right"/>
    </xf>
    <xf numFmtId="0" fontId="0" fillId="6" borderId="13" xfId="0" applyFill="1" applyBorder="1"/>
    <xf numFmtId="0" fontId="0" fillId="6" borderId="4" xfId="0" applyFill="1" applyBorder="1"/>
    <xf numFmtId="0" fontId="6" fillId="6" borderId="4" xfId="0" applyFont="1" applyFill="1" applyBorder="1"/>
    <xf numFmtId="0" fontId="0" fillId="6" borderId="5" xfId="0" applyFill="1" applyBorder="1"/>
    <xf numFmtId="0" fontId="0" fillId="6" borderId="5" xfId="0" applyFill="1" applyBorder="1" applyAlignment="1">
      <alignment horizontal="right"/>
    </xf>
    <xf numFmtId="0" fontId="6" fillId="6" borderId="11" xfId="0" applyFont="1" applyFill="1" applyBorder="1"/>
    <xf numFmtId="0" fontId="0" fillId="6" borderId="0" xfId="0" applyFill="1" applyBorder="1"/>
    <xf numFmtId="0" fontId="0" fillId="6" borderId="0" xfId="0" applyFill="1" applyBorder="1" applyAlignment="1">
      <alignment horizontal="right"/>
    </xf>
    <xf numFmtId="0" fontId="0" fillId="6" borderId="1" xfId="0" applyFill="1" applyBorder="1" applyAlignment="1">
      <alignment wrapText="1" shrinkToFit="1"/>
    </xf>
    <xf numFmtId="0" fontId="0" fillId="6" borderId="2" xfId="0" applyFill="1" applyBorder="1" applyAlignment="1">
      <alignment wrapText="1" shrinkToFit="1"/>
    </xf>
    <xf numFmtId="0" fontId="0" fillId="6" borderId="9" xfId="0" applyFill="1" applyBorder="1"/>
    <xf numFmtId="0" fontId="9" fillId="6" borderId="1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0" fillId="6" borderId="0" xfId="0" applyFill="1" applyAlignment="1">
      <alignment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'burn-in #1'!$C$5</c:f>
              <c:strCache>
                <c:ptCount val="1"/>
                <c:pt idx="0">
                  <c:v>R(t)</c:v>
                </c:pt>
              </c:strCache>
            </c:strRef>
          </c:tx>
          <c:marker>
            <c:symbol val="none"/>
          </c:marker>
          <c:xVal>
            <c:numRef>
              <c:f>'burn-in #1'!$B$6:$B$105</c:f>
              <c:numCache>
                <c:formatCode>General</c:formatCode>
                <c:ptCount val="100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  <c:pt idx="31">
                  <c:v>186</c:v>
                </c:pt>
                <c:pt idx="32">
                  <c:v>192</c:v>
                </c:pt>
                <c:pt idx="33">
                  <c:v>198</c:v>
                </c:pt>
                <c:pt idx="34">
                  <c:v>204</c:v>
                </c:pt>
                <c:pt idx="35">
                  <c:v>210</c:v>
                </c:pt>
                <c:pt idx="36">
                  <c:v>216</c:v>
                </c:pt>
                <c:pt idx="37">
                  <c:v>222</c:v>
                </c:pt>
                <c:pt idx="38">
                  <c:v>228</c:v>
                </c:pt>
                <c:pt idx="39">
                  <c:v>234</c:v>
                </c:pt>
                <c:pt idx="40">
                  <c:v>240</c:v>
                </c:pt>
                <c:pt idx="41">
                  <c:v>246</c:v>
                </c:pt>
                <c:pt idx="42">
                  <c:v>252</c:v>
                </c:pt>
                <c:pt idx="43">
                  <c:v>258</c:v>
                </c:pt>
                <c:pt idx="44">
                  <c:v>264</c:v>
                </c:pt>
                <c:pt idx="45">
                  <c:v>270</c:v>
                </c:pt>
                <c:pt idx="46">
                  <c:v>276</c:v>
                </c:pt>
                <c:pt idx="47">
                  <c:v>282</c:v>
                </c:pt>
                <c:pt idx="48">
                  <c:v>288</c:v>
                </c:pt>
                <c:pt idx="49">
                  <c:v>294</c:v>
                </c:pt>
                <c:pt idx="50">
                  <c:v>300</c:v>
                </c:pt>
                <c:pt idx="51">
                  <c:v>306</c:v>
                </c:pt>
                <c:pt idx="52">
                  <c:v>312</c:v>
                </c:pt>
                <c:pt idx="53">
                  <c:v>318</c:v>
                </c:pt>
                <c:pt idx="54">
                  <c:v>324</c:v>
                </c:pt>
                <c:pt idx="55">
                  <c:v>330</c:v>
                </c:pt>
                <c:pt idx="56">
                  <c:v>336</c:v>
                </c:pt>
                <c:pt idx="57">
                  <c:v>342</c:v>
                </c:pt>
                <c:pt idx="58">
                  <c:v>348</c:v>
                </c:pt>
                <c:pt idx="59">
                  <c:v>354</c:v>
                </c:pt>
                <c:pt idx="60">
                  <c:v>360</c:v>
                </c:pt>
                <c:pt idx="61">
                  <c:v>366</c:v>
                </c:pt>
                <c:pt idx="62">
                  <c:v>372</c:v>
                </c:pt>
                <c:pt idx="63">
                  <c:v>378</c:v>
                </c:pt>
                <c:pt idx="64">
                  <c:v>384</c:v>
                </c:pt>
                <c:pt idx="65">
                  <c:v>390</c:v>
                </c:pt>
                <c:pt idx="66">
                  <c:v>396</c:v>
                </c:pt>
                <c:pt idx="67">
                  <c:v>402</c:v>
                </c:pt>
                <c:pt idx="68">
                  <c:v>408</c:v>
                </c:pt>
                <c:pt idx="69">
                  <c:v>414</c:v>
                </c:pt>
                <c:pt idx="70">
                  <c:v>420</c:v>
                </c:pt>
                <c:pt idx="71">
                  <c:v>426</c:v>
                </c:pt>
                <c:pt idx="72">
                  <c:v>432</c:v>
                </c:pt>
                <c:pt idx="73">
                  <c:v>438</c:v>
                </c:pt>
                <c:pt idx="74">
                  <c:v>444</c:v>
                </c:pt>
                <c:pt idx="75">
                  <c:v>450</c:v>
                </c:pt>
                <c:pt idx="76">
                  <c:v>456</c:v>
                </c:pt>
                <c:pt idx="77">
                  <c:v>462</c:v>
                </c:pt>
                <c:pt idx="78">
                  <c:v>468</c:v>
                </c:pt>
                <c:pt idx="79">
                  <c:v>474</c:v>
                </c:pt>
                <c:pt idx="80">
                  <c:v>480</c:v>
                </c:pt>
                <c:pt idx="81">
                  <c:v>486</c:v>
                </c:pt>
                <c:pt idx="82">
                  <c:v>492</c:v>
                </c:pt>
                <c:pt idx="83">
                  <c:v>498</c:v>
                </c:pt>
                <c:pt idx="84">
                  <c:v>504</c:v>
                </c:pt>
                <c:pt idx="85">
                  <c:v>510</c:v>
                </c:pt>
                <c:pt idx="86">
                  <c:v>516</c:v>
                </c:pt>
                <c:pt idx="87">
                  <c:v>522</c:v>
                </c:pt>
                <c:pt idx="88">
                  <c:v>528</c:v>
                </c:pt>
                <c:pt idx="89">
                  <c:v>534</c:v>
                </c:pt>
                <c:pt idx="90">
                  <c:v>540</c:v>
                </c:pt>
                <c:pt idx="91">
                  <c:v>546</c:v>
                </c:pt>
                <c:pt idx="92">
                  <c:v>552</c:v>
                </c:pt>
                <c:pt idx="93">
                  <c:v>558</c:v>
                </c:pt>
                <c:pt idx="94">
                  <c:v>564</c:v>
                </c:pt>
                <c:pt idx="95">
                  <c:v>570</c:v>
                </c:pt>
                <c:pt idx="96">
                  <c:v>576</c:v>
                </c:pt>
                <c:pt idx="97">
                  <c:v>582</c:v>
                </c:pt>
                <c:pt idx="98">
                  <c:v>588</c:v>
                </c:pt>
                <c:pt idx="99">
                  <c:v>594</c:v>
                </c:pt>
              </c:numCache>
            </c:numRef>
          </c:xVal>
          <c:yVal>
            <c:numRef>
              <c:f>'burn-in #1'!$C$6:$C$105</c:f>
              <c:numCache>
                <c:formatCode>General</c:formatCode>
                <c:ptCount val="100"/>
                <c:pt idx="0">
                  <c:v>1</c:v>
                </c:pt>
                <c:pt idx="1">
                  <c:v>0.97998881947125593</c:v>
                </c:pt>
                <c:pt idx="2">
                  <c:v>0.96982574240530572</c:v>
                </c:pt>
                <c:pt idx="3">
                  <c:v>0.96167611262387009</c:v>
                </c:pt>
                <c:pt idx="4">
                  <c:v>0.95462198528331077</c:v>
                </c:pt>
                <c:pt idx="5">
                  <c:v>0.94829187609351173</c:v>
                </c:pt>
                <c:pt idx="6">
                  <c:v>0.94248948655118181</c:v>
                </c:pt>
                <c:pt idx="7">
                  <c:v>0.93709547591383757</c:v>
                </c:pt>
                <c:pt idx="8">
                  <c:v>0.93203059220709483</c:v>
                </c:pt>
                <c:pt idx="9">
                  <c:v>0.92723888524952336</c:v>
                </c:pt>
                <c:pt idx="10">
                  <c:v>0.92267903538475793</c:v>
                </c:pt>
                <c:pt idx="11">
                  <c:v>0.91831945288876937</c:v>
                </c:pt>
                <c:pt idx="12">
                  <c:v>0.91413531431950568</c:v>
                </c:pt>
                <c:pt idx="13">
                  <c:v>0.91010667266929446</c:v>
                </c:pt>
                <c:pt idx="14">
                  <c:v>0.90621719967940983</c:v>
                </c:pt>
                <c:pt idx="15">
                  <c:v>0.90245331888698277</c:v>
                </c:pt>
                <c:pt idx="16">
                  <c:v>0.89880359011555699</c:v>
                </c:pt>
                <c:pt idx="17">
                  <c:v>0.89525826136553166</c:v>
                </c:pt>
                <c:pt idx="18">
                  <c:v>0.89180893543505635</c:v>
                </c:pt>
                <c:pt idx="19">
                  <c:v>0.88844831717318196</c:v>
                </c:pt>
                <c:pt idx="20">
                  <c:v>0.88517001865852663</c:v>
                </c:pt>
                <c:pt idx="21">
                  <c:v>0.88196840680410493</c:v>
                </c:pt>
                <c:pt idx="22">
                  <c:v>0.87883848257497121</c:v>
                </c:pt>
                <c:pt idx="23">
                  <c:v>0.87577578412637902</c:v>
                </c:pt>
                <c:pt idx="24">
                  <c:v>0.87277630829412989</c:v>
                </c:pt>
                <c:pt idx="25">
                  <c:v>0.86983644634240753</c:v>
                </c:pt>
                <c:pt idx="26">
                  <c:v>0.86695293091481784</c:v>
                </c:pt>
                <c:pt idx="27">
                  <c:v>0.86412279188065577</c:v>
                </c:pt>
                <c:pt idx="28">
                  <c:v>0.86134331931153962</c:v>
                </c:pt>
                <c:pt idx="29">
                  <c:v>0.85861203222407789</c:v>
                </c:pt>
                <c:pt idx="30">
                  <c:v>0.85592665202321194</c:v>
                </c:pt>
                <c:pt idx="31">
                  <c:v>0.85328507980658452</c:v>
                </c:pt>
                <c:pt idx="32">
                  <c:v>0.85068537686244416</c:v>
                </c:pt>
                <c:pt idx="33">
                  <c:v>0.8481257478261961</c:v>
                </c:pt>
                <c:pt idx="34">
                  <c:v>0.84560452606375613</c:v>
                </c:pt>
                <c:pt idx="35">
                  <c:v>0.8431201609306167</c:v>
                </c:pt>
                <c:pt idx="36">
                  <c:v>0.84067120661931893</c:v>
                </c:pt>
                <c:pt idx="37">
                  <c:v>0.83825631235877029</c:v>
                </c:pt>
                <c:pt idx="38">
                  <c:v>0.83587421376950866</c:v>
                </c:pt>
                <c:pt idx="39">
                  <c:v>0.83352372521179863</c:v>
                </c:pt>
                <c:pt idx="40">
                  <c:v>0.83120373299004624</c:v>
                </c:pt>
                <c:pt idx="41">
                  <c:v>0.82891318929872659</c:v>
                </c:pt>
                <c:pt idx="42">
                  <c:v>0.82665110681283083</c:v>
                </c:pt>
                <c:pt idx="43">
                  <c:v>0.82441655384052681</c:v>
                </c:pt>
                <c:pt idx="44">
                  <c:v>0.82220864996790821</c:v>
                </c:pt>
                <c:pt idx="45">
                  <c:v>0.82002656213584224</c:v>
                </c:pt>
                <c:pt idx="46">
                  <c:v>0.81786950109741186</c:v>
                </c:pt>
                <c:pt idx="47">
                  <c:v>0.81573671821156624</c:v>
                </c:pt>
                <c:pt idx="48">
                  <c:v>0.81362750253460925</c:v>
                </c:pt>
                <c:pt idx="49">
                  <c:v>0.81154117817623594</c:v>
                </c:pt>
                <c:pt idx="50">
                  <c:v>0.80947710189115385</c:v>
                </c:pt>
                <c:pt idx="51">
                  <c:v>0.8074346608810109</c:v>
                </c:pt>
                <c:pt idx="52">
                  <c:v>0.8054132707845052</c:v>
                </c:pt>
                <c:pt idx="53">
                  <c:v>0.80341237383626096</c:v>
                </c:pt>
                <c:pt idx="54">
                  <c:v>0.80143143717738508</c:v>
                </c:pt>
                <c:pt idx="55">
                  <c:v>0.79946995130263354</c:v>
                </c:pt>
                <c:pt idx="56">
                  <c:v>0.79752742863085946</c:v>
                </c:pt>
                <c:pt idx="57">
                  <c:v>0.79560340218693082</c:v>
                </c:pt>
                <c:pt idx="58">
                  <c:v>0.79369742438462443</c:v>
                </c:pt>
                <c:pt idx="59">
                  <c:v>0.79180906590115241</c:v>
                </c:pt>
                <c:pt idx="60">
                  <c:v>0.78993791463498897</c:v>
                </c:pt>
                <c:pt idx="61">
                  <c:v>0.78808357473954715</c:v>
                </c:pt>
                <c:pt idx="62">
                  <c:v>0.78624566572603094</c:v>
                </c:pt>
                <c:pt idx="63">
                  <c:v>0.78442382162947777</c:v>
                </c:pt>
                <c:pt idx="64">
                  <c:v>0.78261769023260663</c:v>
                </c:pt>
                <c:pt idx="65">
                  <c:v>0.78082693234262679</c:v>
                </c:pt>
                <c:pt idx="66">
                  <c:v>0.77905122111663194</c:v>
                </c:pt>
                <c:pt idx="67">
                  <c:v>0.77729024143163172</c:v>
                </c:pt>
                <c:pt idx="68">
                  <c:v>0.7755436892956431</c:v>
                </c:pt>
                <c:pt idx="69">
                  <c:v>0.77381127129660254</c:v>
                </c:pt>
                <c:pt idx="70">
                  <c:v>0.77209270408615605</c:v>
                </c:pt>
                <c:pt idx="71">
                  <c:v>0.77038771389565386</c:v>
                </c:pt>
                <c:pt idx="72">
                  <c:v>0.76869603608191484</c:v>
                </c:pt>
                <c:pt idx="73">
                  <c:v>0.7670174147005423</c:v>
                </c:pt>
                <c:pt idx="74">
                  <c:v>0.76535160210476427</c:v>
                </c:pt>
                <c:pt idx="75">
                  <c:v>0.76369835856794865</c:v>
                </c:pt>
                <c:pt idx="76">
                  <c:v>0.76205745192809793</c:v>
                </c:pt>
                <c:pt idx="77">
                  <c:v>0.7604286572527712</c:v>
                </c:pt>
                <c:pt idx="78">
                  <c:v>0.75881175652301103</c:v>
                </c:pt>
                <c:pt idx="79">
                  <c:v>0.7572065383349651</c:v>
                </c:pt>
                <c:pt idx="80">
                  <c:v>0.75561279761800304</c:v>
                </c:pt>
                <c:pt idx="81">
                  <c:v>0.75403033536821973</c:v>
                </c:pt>
                <c:pt idx="82">
                  <c:v>0.75245895839630705</c:v>
                </c:pt>
                <c:pt idx="83">
                  <c:v>0.75089847908885199</c:v>
                </c:pt>
                <c:pt idx="84">
                  <c:v>0.74934871518219504</c:v>
                </c:pt>
                <c:pt idx="85">
                  <c:v>0.74780948954804416</c:v>
                </c:pt>
                <c:pt idx="86">
                  <c:v>0.74628062999010325</c:v>
                </c:pt>
                <c:pt idx="87">
                  <c:v>0.74476196905102765</c:v>
                </c:pt>
                <c:pt idx="88">
                  <c:v>0.74325334382906916</c:v>
                </c:pt>
                <c:pt idx="89">
                  <c:v>0.74175459580381997</c:v>
                </c:pt>
                <c:pt idx="90">
                  <c:v>0.74026557067050625</c:v>
                </c:pt>
                <c:pt idx="91">
                  <c:v>0.7387861181823222</c:v>
                </c:pt>
                <c:pt idx="92">
                  <c:v>0.73731609200032999</c:v>
                </c:pt>
                <c:pt idx="93">
                  <c:v>0.73585534955048404</c:v>
                </c:pt>
                <c:pt idx="94">
                  <c:v>0.73440375188736906</c:v>
                </c:pt>
                <c:pt idx="95">
                  <c:v>0.73296116356426733</c:v>
                </c:pt>
                <c:pt idx="96">
                  <c:v>0.73152745250919937</c:v>
                </c:pt>
                <c:pt idx="97">
                  <c:v>0.7301024899066022</c:v>
                </c:pt>
                <c:pt idx="98">
                  <c:v>0.7286861500843349</c:v>
                </c:pt>
                <c:pt idx="99">
                  <c:v>0.72727831040571822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C5-46C2-B02F-254E6BD94628}"/>
            </c:ext>
          </c:extLst>
        </c:ser>
        <c:ser>
          <c:idx val="1"/>
          <c:order val="1"/>
          <c:tx>
            <c:strRef>
              <c:f>'burn-in #1'!$D$5</c:f>
              <c:strCache>
                <c:ptCount val="1"/>
                <c:pt idx="0">
                  <c:v>R(t|T)</c:v>
                </c:pt>
              </c:strCache>
            </c:strRef>
          </c:tx>
          <c:marker>
            <c:symbol val="none"/>
          </c:marker>
          <c:xVal>
            <c:numRef>
              <c:f>'burn-in #1'!$B$6:$B$105</c:f>
              <c:numCache>
                <c:formatCode>General</c:formatCode>
                <c:ptCount val="100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  <c:pt idx="14">
                  <c:v>84</c:v>
                </c:pt>
                <c:pt idx="15">
                  <c:v>90</c:v>
                </c:pt>
                <c:pt idx="16">
                  <c:v>96</c:v>
                </c:pt>
                <c:pt idx="17">
                  <c:v>102</c:v>
                </c:pt>
                <c:pt idx="18">
                  <c:v>108</c:v>
                </c:pt>
                <c:pt idx="19">
                  <c:v>114</c:v>
                </c:pt>
                <c:pt idx="20">
                  <c:v>120</c:v>
                </c:pt>
                <c:pt idx="21">
                  <c:v>126</c:v>
                </c:pt>
                <c:pt idx="22">
                  <c:v>132</c:v>
                </c:pt>
                <c:pt idx="23">
                  <c:v>138</c:v>
                </c:pt>
                <c:pt idx="24">
                  <c:v>144</c:v>
                </c:pt>
                <c:pt idx="25">
                  <c:v>150</c:v>
                </c:pt>
                <c:pt idx="26">
                  <c:v>156</c:v>
                </c:pt>
                <c:pt idx="27">
                  <c:v>162</c:v>
                </c:pt>
                <c:pt idx="28">
                  <c:v>168</c:v>
                </c:pt>
                <c:pt idx="29">
                  <c:v>174</c:v>
                </c:pt>
                <c:pt idx="30">
                  <c:v>180</c:v>
                </c:pt>
                <c:pt idx="31">
                  <c:v>186</c:v>
                </c:pt>
                <c:pt idx="32">
                  <c:v>192</c:v>
                </c:pt>
                <c:pt idx="33">
                  <c:v>198</c:v>
                </c:pt>
                <c:pt idx="34">
                  <c:v>204</c:v>
                </c:pt>
                <c:pt idx="35">
                  <c:v>210</c:v>
                </c:pt>
                <c:pt idx="36">
                  <c:v>216</c:v>
                </c:pt>
                <c:pt idx="37">
                  <c:v>222</c:v>
                </c:pt>
                <c:pt idx="38">
                  <c:v>228</c:v>
                </c:pt>
                <c:pt idx="39">
                  <c:v>234</c:v>
                </c:pt>
                <c:pt idx="40">
                  <c:v>240</c:v>
                </c:pt>
                <c:pt idx="41">
                  <c:v>246</c:v>
                </c:pt>
                <c:pt idx="42">
                  <c:v>252</c:v>
                </c:pt>
                <c:pt idx="43">
                  <c:v>258</c:v>
                </c:pt>
                <c:pt idx="44">
                  <c:v>264</c:v>
                </c:pt>
                <c:pt idx="45">
                  <c:v>270</c:v>
                </c:pt>
                <c:pt idx="46">
                  <c:v>276</c:v>
                </c:pt>
                <c:pt idx="47">
                  <c:v>282</c:v>
                </c:pt>
                <c:pt idx="48">
                  <c:v>288</c:v>
                </c:pt>
                <c:pt idx="49">
                  <c:v>294</c:v>
                </c:pt>
                <c:pt idx="50">
                  <c:v>300</c:v>
                </c:pt>
                <c:pt idx="51">
                  <c:v>306</c:v>
                </c:pt>
                <c:pt idx="52">
                  <c:v>312</c:v>
                </c:pt>
                <c:pt idx="53">
                  <c:v>318</c:v>
                </c:pt>
                <c:pt idx="54">
                  <c:v>324</c:v>
                </c:pt>
                <c:pt idx="55">
                  <c:v>330</c:v>
                </c:pt>
                <c:pt idx="56">
                  <c:v>336</c:v>
                </c:pt>
                <c:pt idx="57">
                  <c:v>342</c:v>
                </c:pt>
                <c:pt idx="58">
                  <c:v>348</c:v>
                </c:pt>
                <c:pt idx="59">
                  <c:v>354</c:v>
                </c:pt>
                <c:pt idx="60">
                  <c:v>360</c:v>
                </c:pt>
                <c:pt idx="61">
                  <c:v>366</c:v>
                </c:pt>
                <c:pt idx="62">
                  <c:v>372</c:v>
                </c:pt>
                <c:pt idx="63">
                  <c:v>378</c:v>
                </c:pt>
                <c:pt idx="64">
                  <c:v>384</c:v>
                </c:pt>
                <c:pt idx="65">
                  <c:v>390</c:v>
                </c:pt>
                <c:pt idx="66">
                  <c:v>396</c:v>
                </c:pt>
                <c:pt idx="67">
                  <c:v>402</c:v>
                </c:pt>
                <c:pt idx="68">
                  <c:v>408</c:v>
                </c:pt>
                <c:pt idx="69">
                  <c:v>414</c:v>
                </c:pt>
                <c:pt idx="70">
                  <c:v>420</c:v>
                </c:pt>
                <c:pt idx="71">
                  <c:v>426</c:v>
                </c:pt>
                <c:pt idx="72">
                  <c:v>432</c:v>
                </c:pt>
                <c:pt idx="73">
                  <c:v>438</c:v>
                </c:pt>
                <c:pt idx="74">
                  <c:v>444</c:v>
                </c:pt>
                <c:pt idx="75">
                  <c:v>450</c:v>
                </c:pt>
                <c:pt idx="76">
                  <c:v>456</c:v>
                </c:pt>
                <c:pt idx="77">
                  <c:v>462</c:v>
                </c:pt>
                <c:pt idx="78">
                  <c:v>468</c:v>
                </c:pt>
                <c:pt idx="79">
                  <c:v>474</c:v>
                </c:pt>
                <c:pt idx="80">
                  <c:v>480</c:v>
                </c:pt>
                <c:pt idx="81">
                  <c:v>486</c:v>
                </c:pt>
                <c:pt idx="82">
                  <c:v>492</c:v>
                </c:pt>
                <c:pt idx="83">
                  <c:v>498</c:v>
                </c:pt>
                <c:pt idx="84">
                  <c:v>504</c:v>
                </c:pt>
                <c:pt idx="85">
                  <c:v>510</c:v>
                </c:pt>
                <c:pt idx="86">
                  <c:v>516</c:v>
                </c:pt>
                <c:pt idx="87">
                  <c:v>522</c:v>
                </c:pt>
                <c:pt idx="88">
                  <c:v>528</c:v>
                </c:pt>
                <c:pt idx="89">
                  <c:v>534</c:v>
                </c:pt>
                <c:pt idx="90">
                  <c:v>540</c:v>
                </c:pt>
                <c:pt idx="91">
                  <c:v>546</c:v>
                </c:pt>
                <c:pt idx="92">
                  <c:v>552</c:v>
                </c:pt>
                <c:pt idx="93">
                  <c:v>558</c:v>
                </c:pt>
                <c:pt idx="94">
                  <c:v>564</c:v>
                </c:pt>
                <c:pt idx="95">
                  <c:v>570</c:v>
                </c:pt>
                <c:pt idx="96">
                  <c:v>576</c:v>
                </c:pt>
                <c:pt idx="97">
                  <c:v>582</c:v>
                </c:pt>
                <c:pt idx="98">
                  <c:v>588</c:v>
                </c:pt>
                <c:pt idx="99">
                  <c:v>594</c:v>
                </c:pt>
              </c:numCache>
            </c:numRef>
          </c:xVal>
          <c:yVal>
            <c:numRef>
              <c:f>'burn-in #1'!$D$6:$D$105</c:f>
              <c:numCache>
                <c:formatCode>General</c:formatCode>
                <c:ptCount val="100"/>
                <c:pt idx="0">
                  <c:v>1</c:v>
                </c:pt>
                <c:pt idx="1">
                  <c:v>0.99346667940097466</c:v>
                </c:pt>
                <c:pt idx="2">
                  <c:v>0.98746137466263417</c:v>
                </c:pt>
                <c:pt idx="3">
                  <c:v>0.98186794005958089</c:v>
                </c:pt>
                <c:pt idx="4">
                  <c:v>0.97660832277653986</c:v>
                </c:pt>
                <c:pt idx="5">
                  <c:v>0.97162694431792795</c:v>
                </c:pt>
                <c:pt idx="6">
                  <c:v>0.96688249193203024</c:v>
                </c:pt>
                <c:pt idx="7">
                  <c:v>0.96234321976014459</c:v>
                </c:pt>
                <c:pt idx="8">
                  <c:v>0.95798407896367088</c:v>
                </c:pt>
                <c:pt idx="9">
                  <c:v>0.95378487319567118</c:v>
                </c:pt>
                <c:pt idx="10">
                  <c:v>0.94972902314379637</c:v>
                </c:pt>
                <c:pt idx="11">
                  <c:v>0.94580271031709895</c:v>
                </c:pt>
                <c:pt idx="12">
                  <c:v>0.94199426639330519</c:v>
                </c:pt>
                <c:pt idx="13">
                  <c:v>0.93829372690864044</c:v>
                </c:pt>
                <c:pt idx="14">
                  <c:v>0.93469249809238386</c:v>
                </c:pt>
                <c:pt idx="15">
                  <c:v>0.93118310353236344</c:v>
                </c:pt>
                <c:pt idx="16">
                  <c:v>0.92775898838869031</c:v>
                </c:pt>
                <c:pt idx="17">
                  <c:v>0.92441436588645987</c:v>
                </c:pt>
                <c:pt idx="18">
                  <c:v>0.92114409539768061</c:v>
                </c:pt>
                <c:pt idx="19">
                  <c:v>0.91794358448450908</c:v>
                </c:pt>
                <c:pt idx="20">
                  <c:v>0.91480870936668823</c:v>
                </c:pt>
                <c:pt idx="21">
                  <c:v>0.91173574973118121</c:v>
                </c:pt>
                <c:pt idx="22">
                  <c:v>0.90872133483222339</c:v>
                </c:pt>
                <c:pt idx="23">
                  <c:v>0.90576239857088026</c:v>
                </c:pt>
                <c:pt idx="24">
                  <c:v>0.90285614178362383</c:v>
                </c:pt>
                <c:pt idx="25">
                  <c:v>0.90000000036882599</c:v>
                </c:pt>
                <c:pt idx="26">
                  <c:v>0.89719161817878845</c:v>
                </c:pt>
                <c:pt idx="27">
                  <c:v>0.89442882383084787</c:v>
                </c:pt>
                <c:pt idx="28">
                  <c:v>0.89170961076370536</c:v>
                </c:pt>
                <c:pt idx="29">
                  <c:v>0.88903211999829912</c:v>
                </c:pt>
                <c:pt idx="30">
                  <c:v>0.88639462516615808</c:v>
                </c:pt>
                <c:pt idx="31">
                  <c:v>0.88379551944950452</c:v>
                </c:pt>
                <c:pt idx="32">
                  <c:v>0.88123330414169032</c:v>
                </c:pt>
                <c:pt idx="33">
                  <c:v>0.87870657858778012</c:v>
                </c:pt>
                <c:pt idx="34">
                  <c:v>0.87621403130619047</c:v>
                </c:pt>
                <c:pt idx="35">
                  <c:v>0.87375443212547044</c:v>
                </c:pt>
                <c:pt idx="36">
                  <c:v>0.87132662519724136</c:v>
                </c:pt>
                <c:pt idx="37">
                  <c:v>0.8689295227683298</c:v>
                </c:pt>
                <c:pt idx="38">
                  <c:v>0.86656209961319153</c:v>
                </c:pt>
                <c:pt idx="39">
                  <c:v>0.86422338804264942</c:v>
                </c:pt>
                <c:pt idx="40">
                  <c:v>0.86191247341734167</c:v>
                </c:pt>
                <c:pt idx="41">
                  <c:v>0.85962849010458708</c:v>
                </c:pt>
                <c:pt idx="42">
                  <c:v>0.85737061782601198</c:v>
                </c:pt>
                <c:pt idx="43">
                  <c:v>0.85513807835053801</c:v>
                </c:pt>
                <c:pt idx="44">
                  <c:v>0.85293013249345251</c:v>
                </c:pt>
                <c:pt idx="45">
                  <c:v>0.85074607738747243</c:v>
                </c:pt>
                <c:pt idx="46">
                  <c:v>0.84858524399612734</c:v>
                </c:pt>
                <c:pt idx="47">
                  <c:v>0.84644699484354602</c:v>
                </c:pt>
                <c:pt idx="48">
                  <c:v>0.84433072193795833</c:v>
                </c:pt>
                <c:pt idx="49">
                  <c:v>0.84223584486898839</c:v>
                </c:pt>
                <c:pt idx="50">
                  <c:v>0.84016180906120297</c:v>
                </c:pt>
                <c:pt idx="51">
                  <c:v>0.83810808416843652</c:v>
                </c:pt>
                <c:pt idx="52">
                  <c:v>0.83607416259520184</c:v>
                </c:pt>
                <c:pt idx="53">
                  <c:v>0.83405955813304622</c:v>
                </c:pt>
                <c:pt idx="54">
                  <c:v>0.83206380470106256</c:v>
                </c:pt>
                <c:pt idx="55">
                  <c:v>0.83008645518095026</c:v>
                </c:pt>
                <c:pt idx="56">
                  <c:v>0.82812708033804838</c:v>
                </c:pt>
                <c:pt idx="57">
                  <c:v>0.82618526782067436</c:v>
                </c:pt>
                <c:pt idx="58">
                  <c:v>0.82426062123090027</c:v>
                </c:pt>
                <c:pt idx="59">
                  <c:v>0.82235275926059848</c:v>
                </c:pt>
                <c:pt idx="60">
                  <c:v>0.82046131488721075</c:v>
                </c:pt>
                <c:pt idx="61">
                  <c:v>0.81858593462425044</c:v>
                </c:pt>
                <c:pt idx="62">
                  <c:v>0.816726277822025</c:v>
                </c:pt>
                <c:pt idx="63">
                  <c:v>0.8148820160145106</c:v>
                </c:pt>
                <c:pt idx="64">
                  <c:v>0.81305283230868741</c:v>
                </c:pt>
                <c:pt idx="65">
                  <c:v>0.81123842081299713</c:v>
                </c:pt>
                <c:pt idx="66">
                  <c:v>0.80943848610188118</c:v>
                </c:pt>
                <c:pt idx="67">
                  <c:v>0.80765274271364706</c:v>
                </c:pt>
                <c:pt idx="68">
                  <c:v>0.80588091467914402</c:v>
                </c:pt>
                <c:pt idx="69">
                  <c:v>0.80412273507895859</c:v>
                </c:pt>
                <c:pt idx="70">
                  <c:v>0.80237794562704057</c:v>
                </c:pt>
                <c:pt idx="71">
                  <c:v>0.8006462962788421</c:v>
                </c:pt>
                <c:pt idx="72">
                  <c:v>0.79892754486222328</c:v>
                </c:pt>
                <c:pt idx="73">
                  <c:v>0.79722145672952016</c:v>
                </c:pt>
                <c:pt idx="74">
                  <c:v>0.79552780442929982</c:v>
                </c:pt>
                <c:pt idx="75">
                  <c:v>0.79384636739645531</c:v>
                </c:pt>
                <c:pt idx="76">
                  <c:v>0.79217693165939396</c:v>
                </c:pt>
                <c:pt idx="77">
                  <c:v>0.7905192895631753</c:v>
                </c:pt>
                <c:pt idx="78">
                  <c:v>0.78887323950754573</c:v>
                </c:pt>
                <c:pt idx="79">
                  <c:v>0.78723858569889438</c:v>
                </c:pt>
                <c:pt idx="80">
                  <c:v>0.7856151379152333</c:v>
                </c:pt>
                <c:pt idx="81">
                  <c:v>0.78400271128337107</c:v>
                </c:pt>
                <c:pt idx="82">
                  <c:v>0.78240112606751167</c:v>
                </c:pt>
                <c:pt idx="83">
                  <c:v>0.78081020746856689</c:v>
                </c:pt>
                <c:pt idx="84">
                  <c:v>0.77922978543352128</c:v>
                </c:pt>
                <c:pt idx="85">
                  <c:v>0.77765969447424033</c:v>
                </c:pt>
                <c:pt idx="86">
                  <c:v>0.77609977349515169</c:v>
                </c:pt>
                <c:pt idx="87">
                  <c:v>0.77454986562927108</c:v>
                </c:pt>
                <c:pt idx="88">
                  <c:v>0.77300981808208258</c:v>
                </c:pt>
                <c:pt idx="89">
                  <c:v>0.77147948198281535</c:v>
                </c:pt>
                <c:pt idx="90">
                  <c:v>0.76995871224269119</c:v>
                </c:pt>
                <c:pt idx="91">
                  <c:v>0.76844736741974473</c:v>
                </c:pt>
                <c:pt idx="92">
                  <c:v>0.76694530958984686</c:v>
                </c:pt>
                <c:pt idx="93">
                  <c:v>0.76545240422358385</c:v>
                </c:pt>
                <c:pt idx="94">
                  <c:v>0.76396852006866911</c:v>
                </c:pt>
                <c:pt idx="95">
                  <c:v>0.76249352903758705</c:v>
                </c:pt>
                <c:pt idx="96">
                  <c:v>0.76102730610018154</c:v>
                </c:pt>
                <c:pt idx="97">
                  <c:v>0.7595697291809288</c:v>
                </c:pt>
                <c:pt idx="98">
                  <c:v>0.7581206790606434</c:v>
                </c:pt>
                <c:pt idx="99">
                  <c:v>0.75668003928238392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C5-46C2-B02F-254E6BD94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161648"/>
        <c:axId val="1"/>
      </c:scatterChart>
      <c:valAx>
        <c:axId val="29716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9716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4448108883190576"/>
          <c:y val="0.41935635242088948"/>
          <c:w val="0.1353035998680954"/>
          <c:h val="0.15053817779211418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'burn-in #2'!$B$8</c:f>
              <c:strCache>
                <c:ptCount val="1"/>
                <c:pt idx="0">
                  <c:v>Total Expected Cost per unit</c:v>
                </c:pt>
              </c:strCache>
            </c:strRef>
          </c:tx>
          <c:marker>
            <c:symbol val="none"/>
          </c:marker>
          <c:xVal>
            <c:numRef>
              <c:f>'burn-in #2'!$A$9:$A$81</c:f>
              <c:numCache>
                <c:formatCode>General</c:formatCode>
                <c:ptCount val="73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</c:numCache>
            </c:numRef>
          </c:xVal>
          <c:yVal>
            <c:numRef>
              <c:f>'burn-in #2'!$B$9:$B$81</c:f>
              <c:numCache>
                <c:formatCode>"$"#,##0</c:formatCode>
                <c:ptCount val="73"/>
                <c:pt idx="0">
                  <c:v>4969.8669855181579</c:v>
                </c:pt>
                <c:pt idx="1">
                  <c:v>4924.6169739874504</c:v>
                </c:pt>
                <c:pt idx="2">
                  <c:v>4910.6860141210182</c:v>
                </c:pt>
                <c:pt idx="3">
                  <c:v>4901.3256735436489</c:v>
                </c:pt>
                <c:pt idx="4">
                  <c:v>4894.2763256097624</c:v>
                </c:pt>
                <c:pt idx="5">
                  <c:v>4888.6809842072935</c:v>
                </c:pt>
                <c:pt idx="6">
                  <c:v>4884.1063275824117</c:v>
                </c:pt>
                <c:pt idx="7">
                  <c:v>4880.2977307641704</c:v>
                </c:pt>
                <c:pt idx="8">
                  <c:v>4877.0907600973796</c:v>
                </c:pt>
                <c:pt idx="9">
                  <c:v>4874.3720569867783</c:v>
                </c:pt>
                <c:pt idx="10">
                  <c:v>4872.0596244537992</c:v>
                </c:pt>
                <c:pt idx="11">
                  <c:v>4870.0919191513149</c:v>
                </c:pt>
                <c:pt idx="12">
                  <c:v>4868.4213761073679</c:v>
                </c:pt>
                <c:pt idx="13">
                  <c:v>4867.0103475468577</c:v>
                </c:pt>
                <c:pt idx="14">
                  <c:v>4865.8284404578935</c:v>
                </c:pt>
                <c:pt idx="15">
                  <c:v>4864.8507063158331</c:v>
                </c:pt>
                <c:pt idx="16">
                  <c:v>4864.0563719879647</c:v>
                </c:pt>
                <c:pt idx="17">
                  <c:v>4863.427926565304</c:v>
                </c:pt>
                <c:pt idx="18">
                  <c:v>4862.9504493878339</c:v>
                </c:pt>
                <c:pt idx="19">
                  <c:v>4862.6111057958533</c:v>
                </c:pt>
                <c:pt idx="20">
                  <c:v>4862.3987621837587</c:v>
                </c:pt>
                <c:pt idx="21">
                  <c:v>4862.3036876200822</c:v>
                </c:pt>
                <c:pt idx="22">
                  <c:v>4862.3173194018254</c:v>
                </c:pt>
                <c:pt idx="23">
                  <c:v>4862.4320765813918</c:v>
                </c:pt>
                <c:pt idx="24">
                  <c:v>4862.6412100058496</c:v>
                </c:pt>
                <c:pt idx="25">
                  <c:v>4862.9386805064942</c:v>
                </c:pt>
                <c:pt idx="26">
                  <c:v>4863.3190590475797</c:v>
                </c:pt>
                <c:pt idx="27">
                  <c:v>4863.7774441890051</c:v>
                </c:pt>
                <c:pt idx="28">
                  <c:v>4864.309393335021</c:v>
                </c:pt>
                <c:pt idx="29">
                  <c:v>4864.9108650594317</c:v>
                </c:pt>
                <c:pt idx="30">
                  <c:v>4865.5781704048441</c:v>
                </c:pt>
                <c:pt idx="31">
                  <c:v>4866.3079315089371</c:v>
                </c:pt>
                <c:pt idx="32">
                  <c:v>4867.0970462560972</c:v>
                </c:pt>
                <c:pt idx="33">
                  <c:v>4867.942657917225</c:v>
                </c:pt>
                <c:pt idx="34">
                  <c:v>4868.8421289448843</c:v>
                </c:pt>
                <c:pt idx="35">
                  <c:v>4869.7930182503142</c:v>
                </c:pt>
                <c:pt idx="36">
                  <c:v>4870.7930614139805</c:v>
                </c:pt>
                <c:pt idx="37">
                  <c:v>4871.8401533804508</c:v>
                </c:pt>
                <c:pt idx="38">
                  <c:v>4872.9323332673785</c:v>
                </c:pt>
                <c:pt idx="39">
                  <c:v>4874.0677709817874</c:v>
                </c:pt>
                <c:pt idx="40">
                  <c:v>4875.244755388092</c:v>
                </c:pt>
                <c:pt idx="41">
                  <c:v>4876.4616838138172</c:v>
                </c:pt>
                <c:pt idx="42">
                  <c:v>4877.7170527130493</c:v>
                </c:pt>
                <c:pt idx="43">
                  <c:v>4879.0094493354964</c:v>
                </c:pt>
                <c:pt idx="44">
                  <c:v>4880.3375442721035</c:v>
                </c:pt>
                <c:pt idx="45">
                  <c:v>4881.700084767278</c:v>
                </c:pt>
                <c:pt idx="46">
                  <c:v>4883.0958887036759</c:v>
                </c:pt>
                <c:pt idx="47">
                  <c:v>4884.5238391788434</c:v>
                </c:pt>
                <c:pt idx="48">
                  <c:v>4885.9828796041793</c:v>
                </c:pt>
                <c:pt idx="49">
                  <c:v>4887.4720092661364</c:v>
                </c:pt>
                <c:pt idx="50">
                  <c:v>4888.990279297569</c:v>
                </c:pt>
                <c:pt idx="51">
                  <c:v>4890.536789013905</c:v>
                </c:pt>
                <c:pt idx="52">
                  <c:v>4892.1106825746656</c:v>
                </c:pt>
                <c:pt idx="53">
                  <c:v>4893.7111459357284</c:v>
                </c:pt>
                <c:pt idx="54">
                  <c:v>4895.3374040620583</c:v>
                </c:pt>
                <c:pt idx="55">
                  <c:v>4896.9887183742558</c:v>
                </c:pt>
                <c:pt idx="56">
                  <c:v>4898.6643844054033</c:v>
                </c:pt>
                <c:pt idx="57">
                  <c:v>4900.3637296474926</c:v>
                </c:pt>
                <c:pt idx="58">
                  <c:v>4902.0861115690468</c:v>
                </c:pt>
                <c:pt idx="59">
                  <c:v>4903.830915787591</c:v>
                </c:pt>
                <c:pt idx="60">
                  <c:v>4905.597554382518</c:v>
                </c:pt>
                <c:pt idx="61">
                  <c:v>4907.3854643353661</c:v>
                </c:pt>
                <c:pt idx="62">
                  <c:v>4909.1941060860017</c:v>
                </c:pt>
                <c:pt idx="63">
                  <c:v>4911.0229621943336</c:v>
                </c:pt>
                <c:pt idx="64">
                  <c:v>4912.8715360983388</c:v>
                </c:pt>
                <c:pt idx="65">
                  <c:v>4914.7393509600497</c:v>
                </c:pt>
                <c:pt idx="66">
                  <c:v>4916.6259485920218</c:v>
                </c:pt>
                <c:pt idx="67">
                  <c:v>4918.5308884575597</c:v>
                </c:pt>
                <c:pt idx="68">
                  <c:v>4920.4537467385953</c:v>
                </c:pt>
                <c:pt idx="69">
                  <c:v>4922.394115465715</c:v>
                </c:pt>
                <c:pt idx="70">
                  <c:v>4924.3516017053707</c:v>
                </c:pt>
                <c:pt idx="71">
                  <c:v>4926.3258267997326</c:v>
                </c:pt>
                <c:pt idx="72">
                  <c:v>4928.3164256551136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7-46A2-89B7-2CFC0EADB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79520"/>
        <c:axId val="1"/>
      </c:scatterChart>
      <c:valAx>
        <c:axId val="29797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&quot;$&quot;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97979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'Binomial Acceptance'!$B$9:$B$39</c:f>
              <c:numCache>
                <c:formatCode>General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'Binomial Acceptance'!$C$9:$C$39</c:f>
              <c:numCache>
                <c:formatCode>General</c:formatCode>
                <c:ptCount val="31"/>
                <c:pt idx="0">
                  <c:v>1</c:v>
                </c:pt>
                <c:pt idx="1">
                  <c:v>0.99457114242142541</c:v>
                </c:pt>
                <c:pt idx="2">
                  <c:v>0.94810140039981872</c:v>
                </c:pt>
                <c:pt idx="3">
                  <c:v>0.84126942007266436</c:v>
                </c:pt>
                <c:pt idx="4">
                  <c:v>0.69288822494118463</c:v>
                </c:pt>
                <c:pt idx="5">
                  <c:v>0.53387450652334656</c:v>
                </c:pt>
                <c:pt idx="6">
                  <c:v>0.38851129934673018</c:v>
                </c:pt>
                <c:pt idx="7">
                  <c:v>0.26929482094953333</c:v>
                </c:pt>
                <c:pt idx="8">
                  <c:v>0.17901670516075424</c:v>
                </c:pt>
                <c:pt idx="9">
                  <c:v>0.11475088858757052</c:v>
                </c:pt>
                <c:pt idx="10">
                  <c:v>7.1230572263102448E-2</c:v>
                </c:pt>
                <c:pt idx="11">
                  <c:v>4.2961855708292342E-2</c:v>
                </c:pt>
                <c:pt idx="12">
                  <c:v>2.5244194392598677E-2</c:v>
                </c:pt>
                <c:pt idx="13">
                  <c:v>1.4481831644228508E-2</c:v>
                </c:pt>
                <c:pt idx="14">
                  <c:v>8.124714414714523E-3</c:v>
                </c:pt>
                <c:pt idx="15">
                  <c:v>4.4638615205441585E-3</c:v>
                </c:pt>
                <c:pt idx="16">
                  <c:v>2.4044297922306392E-3</c:v>
                </c:pt>
                <c:pt idx="17">
                  <c:v>1.2708685281419795E-3</c:v>
                </c:pt>
                <c:pt idx="18">
                  <c:v>6.5961300896221549E-4</c:v>
                </c:pt>
                <c:pt idx="19">
                  <c:v>3.3637869980546095E-4</c:v>
                </c:pt>
                <c:pt idx="20">
                  <c:v>1.6862307951149021E-4</c:v>
                </c:pt>
                <c:pt idx="21">
                  <c:v>8.3120731062326836E-5</c:v>
                </c:pt>
                <c:pt idx="22">
                  <c:v>4.0301612102369956E-5</c:v>
                </c:pt>
                <c:pt idx="23">
                  <c:v>1.9223858664529693E-5</c:v>
                </c:pt>
                <c:pt idx="24">
                  <c:v>9.0223495381464612E-6</c:v>
                </c:pt>
                <c:pt idx="25">
                  <c:v>4.166681347235518E-6</c:v>
                </c:pt>
                <c:pt idx="26">
                  <c:v>1.8934790138961625E-6</c:v>
                </c:pt>
                <c:pt idx="27">
                  <c:v>8.4667704839846838E-7</c:v>
                </c:pt>
                <c:pt idx="28">
                  <c:v>3.7250394876287589E-7</c:v>
                </c:pt>
                <c:pt idx="29">
                  <c:v>1.6123193056989537E-7</c:v>
                </c:pt>
                <c:pt idx="30">
                  <c:v>6.8645679991312614E-8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5-472A-9334-AD254313A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159352"/>
        <c:axId val="1"/>
      </c:scatterChart>
      <c:valAx>
        <c:axId val="297159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971593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wmf"/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</xdr:row>
          <xdr:rowOff>106680</xdr:rowOff>
        </xdr:from>
        <xdr:to>
          <xdr:col>16</xdr:col>
          <xdr:colOff>274320</xdr:colOff>
          <xdr:row>3</xdr:row>
          <xdr:rowOff>22860</xdr:rowOff>
        </xdr:to>
        <xdr:sp macro="" textlink="">
          <xdr:nvSpPr>
            <xdr:cNvPr id="18433" name="Object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9DBE0CD3-A064-4239-B787-762C9EC19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5</xdr:row>
      <xdr:rowOff>68580</xdr:rowOff>
    </xdr:from>
    <xdr:to>
      <xdr:col>11</xdr:col>
      <xdr:colOff>167640</xdr:colOff>
      <xdr:row>22</xdr:row>
      <xdr:rowOff>45720</xdr:rowOff>
    </xdr:to>
    <xdr:graphicFrame macro="">
      <xdr:nvGraphicFramePr>
        <xdr:cNvPr id="1053" name="Chart 3">
          <a:extLst>
            <a:ext uri="{FF2B5EF4-FFF2-40B4-BE49-F238E27FC236}">
              <a16:creationId xmlns:a16="http://schemas.microsoft.com/office/drawing/2014/main" id="{035E9263-C99D-4801-84A6-F5F6BCB86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160020</xdr:rowOff>
        </xdr:from>
        <xdr:to>
          <xdr:col>12</xdr:col>
          <xdr:colOff>350520</xdr:colOff>
          <xdr:row>4</xdr:row>
          <xdr:rowOff>15240</xdr:rowOff>
        </xdr:to>
        <xdr:sp macro="" textlink="">
          <xdr:nvSpPr>
            <xdr:cNvPr id="1046" name="Object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F3622370-9F22-46A4-A55F-D41C150F6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8</xdr:row>
      <xdr:rowOff>22860</xdr:rowOff>
    </xdr:from>
    <xdr:to>
      <xdr:col>12</xdr:col>
      <xdr:colOff>342900</xdr:colOff>
      <xdr:row>25</xdr:row>
      <xdr:rowOff>7620</xdr:rowOff>
    </xdr:to>
    <xdr:graphicFrame macro="">
      <xdr:nvGraphicFramePr>
        <xdr:cNvPr id="7192" name="Chart 1">
          <a:extLst>
            <a:ext uri="{FF2B5EF4-FFF2-40B4-BE49-F238E27FC236}">
              <a16:creationId xmlns:a16="http://schemas.microsoft.com/office/drawing/2014/main" id="{246EF111-BEE2-4E3E-BAC6-14E6AB8E1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25</xdr:row>
          <xdr:rowOff>38100</xdr:rowOff>
        </xdr:from>
        <xdr:to>
          <xdr:col>12</xdr:col>
          <xdr:colOff>312420</xdr:colOff>
          <xdr:row>30</xdr:row>
          <xdr:rowOff>60960</xdr:rowOff>
        </xdr:to>
        <xdr:sp macro="" textlink="">
          <xdr:nvSpPr>
            <xdr:cNvPr id="7185" name="Object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4AC17BF7-DE7B-4D91-84B4-568777584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289560</xdr:colOff>
      <xdr:row>9</xdr:row>
      <xdr:rowOff>121920</xdr:rowOff>
    </xdr:from>
    <xdr:to>
      <xdr:col>10</xdr:col>
      <xdr:colOff>495300</xdr:colOff>
      <xdr:row>26</xdr:row>
      <xdr:rowOff>106680</xdr:rowOff>
    </xdr:to>
    <xdr:graphicFrame macro="">
      <xdr:nvGraphicFramePr>
        <xdr:cNvPr id="46087" name="Chart 1">
          <a:extLst>
            <a:ext uri="{FF2B5EF4-FFF2-40B4-BE49-F238E27FC236}">
              <a16:creationId xmlns:a16="http://schemas.microsoft.com/office/drawing/2014/main" id="{9F9EFC71-0A7D-416D-94CA-E25D02FE1C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0</xdr:row>
          <xdr:rowOff>0</xdr:rowOff>
        </xdr:from>
        <xdr:to>
          <xdr:col>12</xdr:col>
          <xdr:colOff>0</xdr:colOff>
          <xdr:row>4</xdr:row>
          <xdr:rowOff>38100</xdr:rowOff>
        </xdr:to>
        <xdr:sp macro="" textlink="">
          <xdr:nvSpPr>
            <xdr:cNvPr id="46081" name="Object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D710A55C-3D59-4D3A-9590-D88264213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3</xdr:row>
          <xdr:rowOff>160020</xdr:rowOff>
        </xdr:from>
        <xdr:to>
          <xdr:col>11</xdr:col>
          <xdr:colOff>350520</xdr:colOff>
          <xdr:row>8</xdr:row>
          <xdr:rowOff>76200</xdr:rowOff>
        </xdr:to>
        <xdr:sp macro="" textlink="">
          <xdr:nvSpPr>
            <xdr:cNvPr id="46082" name="Object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E230E652-47C3-4C16-92BD-E19DF7EF5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0.75784</cdr:x>
      <cdr:y>0.62808</cdr:y>
    </cdr:from>
    <cdr:to>
      <cdr:x>0.95735</cdr:x>
      <cdr:y>0.78613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467100" y="1733551"/>
          <a:ext cx="914400" cy="438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100"/>
            <a:t>probability of</a:t>
          </a:r>
        </a:p>
        <a:p xmlns:a="http://schemas.openxmlformats.org/drawingml/2006/main">
          <a:r>
            <a:rPr lang="en-US" sz="1100"/>
            <a:t>a failure</a:t>
          </a:r>
        </a:p>
      </cdr:txBody>
    </cdr:sp>
  </cdr:relSizeAnchor>
  <cdr:relSizeAnchor xmlns:cdr="http://schemas.openxmlformats.org/drawingml/2006/chartDrawing">
    <cdr:from>
      <cdr:x>0.09705</cdr:x>
      <cdr:y>0.06491</cdr:y>
    </cdr:from>
    <cdr:to>
      <cdr:x>0.46042</cdr:x>
      <cdr:y>0.151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438149" y="171450"/>
          <a:ext cx="166687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/>
        <a:p xmlns:a="http://schemas.openxmlformats.org/drawingml/2006/main">
          <a:r>
            <a:rPr lang="en-US" sz="1100"/>
            <a:t>probability of acceptance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w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5.w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13"/>
  <sheetViews>
    <sheetView workbookViewId="0">
      <selection activeCell="N8" sqref="N8"/>
    </sheetView>
  </sheetViews>
  <sheetFormatPr defaultRowHeight="13.2" x14ac:dyDescent="0.25"/>
  <cols>
    <col min="1" max="1" width="5.109375" customWidth="1"/>
    <col min="2" max="2" width="7.44140625" customWidth="1"/>
    <col min="3" max="3" width="7.33203125" customWidth="1"/>
    <col min="4" max="4" width="7.88671875" customWidth="1"/>
    <col min="5" max="5" width="14.33203125" customWidth="1"/>
    <col min="6" max="6" width="13.109375" customWidth="1"/>
    <col min="7" max="8" width="7.33203125" customWidth="1"/>
    <col min="10" max="10" width="11.5546875" customWidth="1"/>
    <col min="11" max="11" width="12.33203125" customWidth="1"/>
  </cols>
  <sheetData>
    <row r="1" spans="1:11" ht="14.4" thickBot="1" x14ac:dyDescent="0.3">
      <c r="A1" s="3"/>
      <c r="B1" s="29" t="s">
        <v>37</v>
      </c>
      <c r="C1" s="5"/>
      <c r="D1" s="5"/>
      <c r="E1" s="5"/>
      <c r="F1" s="6"/>
      <c r="G1" s="69" t="s">
        <v>41</v>
      </c>
      <c r="H1" s="70"/>
      <c r="I1" s="68"/>
      <c r="J1" s="68"/>
      <c r="K1" s="66"/>
    </row>
    <row r="2" spans="1:11" ht="15.6" thickBot="1" x14ac:dyDescent="0.3">
      <c r="A2" s="58"/>
      <c r="B2" s="44" t="s">
        <v>32</v>
      </c>
      <c r="C2" s="45">
        <v>20</v>
      </c>
      <c r="D2" s="64"/>
      <c r="E2" s="65" t="s">
        <v>42</v>
      </c>
      <c r="F2" s="66"/>
      <c r="G2" s="46" t="s">
        <v>39</v>
      </c>
      <c r="H2" s="47">
        <v>25</v>
      </c>
      <c r="I2" s="67" t="s">
        <v>40</v>
      </c>
      <c r="J2" s="68"/>
      <c r="K2" s="66"/>
    </row>
    <row r="3" spans="1:11" ht="33.75" customHeight="1" thickBot="1" x14ac:dyDescent="0.45">
      <c r="A3" s="59"/>
      <c r="B3" s="60" t="s">
        <v>33</v>
      </c>
      <c r="C3" s="61" t="s">
        <v>34</v>
      </c>
      <c r="D3" s="62" t="s">
        <v>38</v>
      </c>
      <c r="E3" s="62" t="s">
        <v>35</v>
      </c>
      <c r="F3" s="63" t="s">
        <v>36</v>
      </c>
      <c r="G3" s="60" t="s">
        <v>33</v>
      </c>
      <c r="H3" s="61" t="s">
        <v>34</v>
      </c>
      <c r="I3" s="62" t="s">
        <v>38</v>
      </c>
      <c r="J3" s="62" t="s">
        <v>35</v>
      </c>
      <c r="K3" s="63" t="s">
        <v>36</v>
      </c>
    </row>
    <row r="4" spans="1:11" ht="13.8" x14ac:dyDescent="0.25">
      <c r="B4" s="24">
        <v>1</v>
      </c>
      <c r="C4" s="24">
        <v>1</v>
      </c>
      <c r="D4" s="24">
        <v>1</v>
      </c>
      <c r="E4" s="25">
        <f>$C$2*D4</f>
        <v>20</v>
      </c>
      <c r="F4" s="26">
        <f>C4*$C$2/B4</f>
        <v>20</v>
      </c>
      <c r="G4" s="30">
        <v>25</v>
      </c>
      <c r="H4" s="30">
        <v>1</v>
      </c>
      <c r="I4" s="31">
        <v>3.9999999105930328E-2</v>
      </c>
      <c r="J4" s="32">
        <v>0.79999995231628418</v>
      </c>
      <c r="K4" s="32">
        <v>0.80000001192092896</v>
      </c>
    </row>
    <row r="5" spans="1:11" ht="13.8" x14ac:dyDescent="0.25">
      <c r="B5" s="24">
        <v>2</v>
      </c>
      <c r="C5" s="24">
        <v>1</v>
      </c>
      <c r="D5" s="24">
        <v>0.5</v>
      </c>
      <c r="E5" s="25">
        <f t="shared" ref="E5:E68" si="0">$C$2*D5</f>
        <v>10</v>
      </c>
      <c r="F5" s="26">
        <f t="shared" ref="F5:F68" si="1">C5*$C$2/B5</f>
        <v>10</v>
      </c>
      <c r="G5" s="30">
        <v>25</v>
      </c>
      <c r="H5" s="30">
        <v>2</v>
      </c>
      <c r="I5" s="31">
        <v>8.1666663289070129E-2</v>
      </c>
      <c r="J5" s="32">
        <v>1.6333332061767578</v>
      </c>
      <c r="K5" s="32">
        <v>1.6000000238418579</v>
      </c>
    </row>
    <row r="6" spans="1:11" ht="13.8" x14ac:dyDescent="0.25">
      <c r="B6" s="24">
        <v>2</v>
      </c>
      <c r="C6" s="24">
        <v>2</v>
      </c>
      <c r="D6" s="24">
        <v>1.5</v>
      </c>
      <c r="E6" s="25">
        <f t="shared" si="0"/>
        <v>30</v>
      </c>
      <c r="F6" s="26">
        <f t="shared" si="1"/>
        <v>20</v>
      </c>
      <c r="G6" s="30">
        <v>25</v>
      </c>
      <c r="H6" s="30">
        <v>3</v>
      </c>
      <c r="I6" s="31">
        <v>0.12514492869377136</v>
      </c>
      <c r="J6" s="32">
        <v>2.5028986930847168</v>
      </c>
      <c r="K6" s="32">
        <v>2.4000000953674316</v>
      </c>
    </row>
    <row r="7" spans="1:11" ht="13.8" x14ac:dyDescent="0.25">
      <c r="B7" s="24">
        <v>3</v>
      </c>
      <c r="C7" s="24">
        <v>1</v>
      </c>
      <c r="D7" s="24">
        <v>0.33300000000000002</v>
      </c>
      <c r="E7" s="25">
        <f t="shared" si="0"/>
        <v>6.66</v>
      </c>
      <c r="F7" s="26">
        <f t="shared" si="1"/>
        <v>6.666666666666667</v>
      </c>
      <c r="G7" s="30">
        <v>25</v>
      </c>
      <c r="H7" s="30">
        <v>4</v>
      </c>
      <c r="I7" s="31">
        <v>0.17059947550296783</v>
      </c>
      <c r="J7" s="32">
        <v>3.4119894504547119</v>
      </c>
      <c r="K7" s="32">
        <v>3.2000000476837158</v>
      </c>
    </row>
    <row r="8" spans="1:11" ht="13.8" x14ac:dyDescent="0.25">
      <c r="B8" s="24">
        <v>3</v>
      </c>
      <c r="C8" s="24">
        <v>2</v>
      </c>
      <c r="D8" s="24">
        <v>0.83299999999999996</v>
      </c>
      <c r="E8" s="25">
        <f t="shared" si="0"/>
        <v>16.66</v>
      </c>
      <c r="F8" s="26">
        <f t="shared" si="1"/>
        <v>13.333333333333334</v>
      </c>
      <c r="G8" s="30">
        <v>25</v>
      </c>
      <c r="H8" s="30">
        <v>5</v>
      </c>
      <c r="I8" s="31">
        <v>0.21821852028369904</v>
      </c>
      <c r="J8" s="32">
        <v>4.3643703460693359</v>
      </c>
      <c r="K8" s="32">
        <v>4</v>
      </c>
    </row>
    <row r="9" spans="1:11" ht="13.8" x14ac:dyDescent="0.25">
      <c r="B9" s="24">
        <v>3</v>
      </c>
      <c r="C9" s="24">
        <v>3</v>
      </c>
      <c r="D9" s="24">
        <v>1.833</v>
      </c>
      <c r="E9" s="25">
        <f t="shared" si="0"/>
        <v>36.659999999999997</v>
      </c>
      <c r="F9" s="26">
        <f t="shared" si="1"/>
        <v>20</v>
      </c>
      <c r="G9" s="30">
        <v>25</v>
      </c>
      <c r="H9" s="30">
        <v>6</v>
      </c>
      <c r="I9" s="31">
        <v>0.2682185173034668</v>
      </c>
      <c r="J9" s="32">
        <v>5.3643703460693359</v>
      </c>
      <c r="K9" s="32">
        <v>4.8000001907348633</v>
      </c>
    </row>
    <row r="10" spans="1:11" ht="13.8" x14ac:dyDescent="0.25">
      <c r="B10" s="24">
        <v>4</v>
      </c>
      <c r="C10" s="24">
        <v>1</v>
      </c>
      <c r="D10" s="24">
        <v>0.25</v>
      </c>
      <c r="E10" s="25">
        <f t="shared" si="0"/>
        <v>5</v>
      </c>
      <c r="F10" s="26">
        <f t="shared" si="1"/>
        <v>5</v>
      </c>
      <c r="G10" s="30">
        <v>25</v>
      </c>
      <c r="H10" s="30">
        <v>7</v>
      </c>
      <c r="I10" s="31">
        <v>0.32085010409355164</v>
      </c>
      <c r="J10" s="32">
        <v>6.4170022010803223</v>
      </c>
      <c r="K10" s="32">
        <v>5.5999999046325684</v>
      </c>
    </row>
    <row r="11" spans="1:11" ht="13.8" x14ac:dyDescent="0.25">
      <c r="B11" s="24">
        <v>4</v>
      </c>
      <c r="C11" s="24">
        <v>2</v>
      </c>
      <c r="D11" s="24">
        <v>0.58299999999999996</v>
      </c>
      <c r="E11" s="25">
        <f t="shared" si="0"/>
        <v>11.66</v>
      </c>
      <c r="F11" s="26">
        <f t="shared" si="1"/>
        <v>10</v>
      </c>
      <c r="G11" s="30">
        <v>25</v>
      </c>
      <c r="H11" s="30">
        <v>8</v>
      </c>
      <c r="I11" s="31">
        <v>0.37640565633773804</v>
      </c>
      <c r="J11" s="32">
        <v>7.5281133651733398</v>
      </c>
      <c r="K11" s="32">
        <v>6.4000000953674316</v>
      </c>
    </row>
    <row r="12" spans="1:11" ht="13.8" x14ac:dyDescent="0.25">
      <c r="B12" s="24">
        <v>4</v>
      </c>
      <c r="C12" s="24">
        <v>3</v>
      </c>
      <c r="D12" s="24">
        <v>1.083</v>
      </c>
      <c r="E12" s="25">
        <f t="shared" si="0"/>
        <v>21.66</v>
      </c>
      <c r="F12" s="26">
        <f t="shared" si="1"/>
        <v>15</v>
      </c>
      <c r="G12" s="30">
        <v>25</v>
      </c>
      <c r="H12" s="30">
        <v>9</v>
      </c>
      <c r="I12" s="31">
        <v>0.43522918224334717</v>
      </c>
      <c r="J12" s="32">
        <v>8.7045841217041016</v>
      </c>
      <c r="K12" s="32">
        <v>7.1999998092651367</v>
      </c>
    </row>
    <row r="13" spans="1:11" ht="13.8" x14ac:dyDescent="0.25">
      <c r="B13" s="24">
        <v>4</v>
      </c>
      <c r="C13" s="24">
        <v>4</v>
      </c>
      <c r="D13" s="24">
        <v>2.0830000000000002</v>
      </c>
      <c r="E13" s="25">
        <f t="shared" si="0"/>
        <v>41.660000000000004</v>
      </c>
      <c r="F13" s="26">
        <f t="shared" si="1"/>
        <v>20</v>
      </c>
      <c r="G13" s="30">
        <v>25</v>
      </c>
      <c r="H13" s="30">
        <v>10</v>
      </c>
      <c r="I13" s="31">
        <v>0.49772918224334717</v>
      </c>
      <c r="J13" s="32">
        <v>9.9545841217041016</v>
      </c>
      <c r="K13" s="32">
        <v>8</v>
      </c>
    </row>
    <row r="14" spans="1:11" ht="13.8" x14ac:dyDescent="0.25">
      <c r="B14" s="24">
        <v>5</v>
      </c>
      <c r="C14" s="24">
        <v>1</v>
      </c>
      <c r="D14" s="24">
        <v>0.2</v>
      </c>
      <c r="E14" s="25">
        <f t="shared" si="0"/>
        <v>4</v>
      </c>
      <c r="F14" s="26">
        <f t="shared" si="1"/>
        <v>4</v>
      </c>
      <c r="G14" s="30">
        <v>25</v>
      </c>
      <c r="H14" s="30">
        <v>11</v>
      </c>
      <c r="I14" s="31">
        <v>0.56439584493637085</v>
      </c>
      <c r="J14" s="32">
        <v>11.287917137145996</v>
      </c>
      <c r="K14" s="32">
        <v>8.8000001907348633</v>
      </c>
    </row>
    <row r="15" spans="1:11" ht="13.8" x14ac:dyDescent="0.25">
      <c r="B15" s="24">
        <v>5</v>
      </c>
      <c r="C15" s="24">
        <v>2</v>
      </c>
      <c r="D15" s="24">
        <v>0.45</v>
      </c>
      <c r="E15" s="25">
        <f t="shared" si="0"/>
        <v>9</v>
      </c>
      <c r="F15" s="26">
        <f t="shared" si="1"/>
        <v>8</v>
      </c>
      <c r="G15" s="30">
        <v>25</v>
      </c>
      <c r="H15" s="30">
        <v>12</v>
      </c>
      <c r="I15" s="31">
        <v>0.63582444190979004</v>
      </c>
      <c r="J15" s="32">
        <v>12.716488838195801</v>
      </c>
      <c r="K15" s="32">
        <v>9.6000003814697266</v>
      </c>
    </row>
    <row r="16" spans="1:11" ht="13.8" x14ac:dyDescent="0.25">
      <c r="B16" s="24">
        <v>5</v>
      </c>
      <c r="C16" s="24">
        <v>3</v>
      </c>
      <c r="D16" s="24">
        <v>0.78300000000000003</v>
      </c>
      <c r="E16" s="25">
        <f t="shared" si="0"/>
        <v>15.66</v>
      </c>
      <c r="F16" s="26">
        <f t="shared" si="1"/>
        <v>12</v>
      </c>
      <c r="G16" s="30">
        <v>25</v>
      </c>
      <c r="H16" s="30">
        <v>13</v>
      </c>
      <c r="I16" s="31">
        <v>0.71274751424789429</v>
      </c>
      <c r="J16" s="32">
        <v>14.254950523376465</v>
      </c>
      <c r="K16" s="32">
        <v>10.399999618530273</v>
      </c>
    </row>
    <row r="17" spans="2:11" ht="13.8" x14ac:dyDescent="0.25">
      <c r="B17" s="24">
        <v>5</v>
      </c>
      <c r="C17" s="24">
        <v>4</v>
      </c>
      <c r="D17" s="24">
        <v>1.2829999999999999</v>
      </c>
      <c r="E17" s="25">
        <f t="shared" si="0"/>
        <v>25.659999999999997</v>
      </c>
      <c r="F17" s="26">
        <f t="shared" si="1"/>
        <v>16</v>
      </c>
      <c r="G17" s="30">
        <v>25</v>
      </c>
      <c r="H17" s="30">
        <v>14</v>
      </c>
      <c r="I17" s="31">
        <v>0.7960808277130127</v>
      </c>
      <c r="J17" s="32">
        <v>15.921616554260254</v>
      </c>
      <c r="K17" s="32">
        <v>11.199999809265137</v>
      </c>
    </row>
    <row r="18" spans="2:11" ht="13.8" x14ac:dyDescent="0.25">
      <c r="B18" s="24">
        <v>5</v>
      </c>
      <c r="C18" s="24">
        <v>5</v>
      </c>
      <c r="D18" s="24">
        <v>2.2829999999999999</v>
      </c>
      <c r="E18" s="25">
        <f t="shared" si="0"/>
        <v>45.66</v>
      </c>
      <c r="F18" s="26">
        <f t="shared" si="1"/>
        <v>20</v>
      </c>
      <c r="G18" s="30">
        <v>25</v>
      </c>
      <c r="H18" s="30">
        <v>15</v>
      </c>
      <c r="I18" s="31">
        <v>0.88698989152908325</v>
      </c>
      <c r="J18" s="32">
        <v>17.739797592163086</v>
      </c>
      <c r="K18" s="32">
        <v>12</v>
      </c>
    </row>
    <row r="19" spans="2:11" ht="13.8" x14ac:dyDescent="0.25">
      <c r="B19" s="24">
        <v>6</v>
      </c>
      <c r="C19" s="24">
        <v>1</v>
      </c>
      <c r="D19" s="24">
        <v>0.16700000000000001</v>
      </c>
      <c r="E19" s="25">
        <f t="shared" si="0"/>
        <v>3.3400000000000003</v>
      </c>
      <c r="F19" s="26">
        <f t="shared" si="1"/>
        <v>3.3333333333333335</v>
      </c>
      <c r="G19" s="30">
        <v>25</v>
      </c>
      <c r="H19" s="30">
        <v>16</v>
      </c>
      <c r="I19" s="31">
        <v>0.98698991537094116</v>
      </c>
      <c r="J19" s="32">
        <v>19.739797592163086</v>
      </c>
      <c r="K19" s="32">
        <v>12.800000190734863</v>
      </c>
    </row>
    <row r="20" spans="2:11" ht="13.8" x14ac:dyDescent="0.25">
      <c r="B20" s="24">
        <v>6</v>
      </c>
      <c r="C20" s="24">
        <v>2</v>
      </c>
      <c r="D20" s="24">
        <v>0.36699999999999999</v>
      </c>
      <c r="E20" s="25">
        <f t="shared" si="0"/>
        <v>7.34</v>
      </c>
      <c r="F20" s="26">
        <f t="shared" si="1"/>
        <v>6.666666666666667</v>
      </c>
      <c r="G20" s="30">
        <v>25</v>
      </c>
      <c r="H20" s="30">
        <v>17</v>
      </c>
      <c r="I20" s="31">
        <v>1.098101019859314</v>
      </c>
      <c r="J20" s="32">
        <v>21.962020874023438</v>
      </c>
      <c r="K20" s="32">
        <v>13.600000381469727</v>
      </c>
    </row>
    <row r="21" spans="2:11" ht="13.8" x14ac:dyDescent="0.25">
      <c r="B21" s="24">
        <v>6</v>
      </c>
      <c r="C21" s="24">
        <v>3</v>
      </c>
      <c r="D21" s="24">
        <v>0.61699999999999999</v>
      </c>
      <c r="E21" s="25">
        <f t="shared" si="0"/>
        <v>12.34</v>
      </c>
      <c r="F21" s="26">
        <f t="shared" si="1"/>
        <v>10</v>
      </c>
      <c r="G21" s="30">
        <v>25</v>
      </c>
      <c r="H21" s="30">
        <v>18</v>
      </c>
      <c r="I21" s="31">
        <v>1.223101019859314</v>
      </c>
      <c r="J21" s="32">
        <v>24.462020874023438</v>
      </c>
      <c r="K21" s="32">
        <v>14.399999618530273</v>
      </c>
    </row>
    <row r="22" spans="2:11" ht="13.8" x14ac:dyDescent="0.25">
      <c r="B22" s="24">
        <v>6</v>
      </c>
      <c r="C22" s="24">
        <v>4</v>
      </c>
      <c r="D22" s="24">
        <v>0.95</v>
      </c>
      <c r="E22" s="25">
        <f t="shared" si="0"/>
        <v>19</v>
      </c>
      <c r="F22" s="26">
        <f t="shared" si="1"/>
        <v>13.333333333333334</v>
      </c>
      <c r="G22" s="30">
        <v>25</v>
      </c>
      <c r="H22" s="30">
        <v>19</v>
      </c>
      <c r="I22" s="31">
        <v>1.3659582138061523</v>
      </c>
      <c r="J22" s="32">
        <v>27.319164276123047</v>
      </c>
      <c r="K22" s="32">
        <v>15.199999809265137</v>
      </c>
    </row>
    <row r="23" spans="2:11" ht="13.8" x14ac:dyDescent="0.25">
      <c r="B23" s="24">
        <v>6</v>
      </c>
      <c r="C23" s="24">
        <v>5</v>
      </c>
      <c r="D23" s="24">
        <v>1.45</v>
      </c>
      <c r="E23" s="25">
        <f t="shared" si="0"/>
        <v>29</v>
      </c>
      <c r="F23" s="26">
        <f t="shared" si="1"/>
        <v>16.666666666666668</v>
      </c>
      <c r="G23" s="30">
        <v>25</v>
      </c>
      <c r="H23" s="30">
        <v>20</v>
      </c>
      <c r="I23" s="31">
        <v>1.5326248407363892</v>
      </c>
      <c r="J23" s="32">
        <v>30.652496337890625</v>
      </c>
      <c r="K23" s="32">
        <v>16</v>
      </c>
    </row>
    <row r="24" spans="2:11" ht="13.8" x14ac:dyDescent="0.25">
      <c r="B24" s="24">
        <v>6</v>
      </c>
      <c r="C24" s="24">
        <v>6</v>
      </c>
      <c r="D24" s="24">
        <v>2.4500000000000002</v>
      </c>
      <c r="E24" s="25">
        <f t="shared" si="0"/>
        <v>49</v>
      </c>
      <c r="F24" s="26">
        <f t="shared" si="1"/>
        <v>20</v>
      </c>
      <c r="G24" s="30">
        <v>25</v>
      </c>
      <c r="H24" s="30">
        <v>21</v>
      </c>
      <c r="I24" s="31">
        <v>1.732624888420105</v>
      </c>
      <c r="J24" s="32">
        <v>34.652496337890625</v>
      </c>
      <c r="K24" s="32">
        <v>16.799999237060547</v>
      </c>
    </row>
    <row r="25" spans="2:11" ht="13.8" x14ac:dyDescent="0.25">
      <c r="B25" s="24">
        <v>7</v>
      </c>
      <c r="C25" s="24">
        <v>1</v>
      </c>
      <c r="D25" s="24">
        <v>0.14299999999999999</v>
      </c>
      <c r="E25" s="25">
        <f t="shared" si="0"/>
        <v>2.86</v>
      </c>
      <c r="F25" s="26">
        <f t="shared" si="1"/>
        <v>2.8571428571428572</v>
      </c>
      <c r="G25" s="30">
        <v>25</v>
      </c>
      <c r="H25" s="30">
        <v>22</v>
      </c>
      <c r="I25" s="31">
        <v>1.982624888420105</v>
      </c>
      <c r="J25" s="32">
        <v>39.652496337890625</v>
      </c>
      <c r="K25" s="32">
        <v>17.600000381469727</v>
      </c>
    </row>
    <row r="26" spans="2:11" ht="13.8" x14ac:dyDescent="0.25">
      <c r="B26" s="24">
        <v>7</v>
      </c>
      <c r="C26" s="24">
        <v>2</v>
      </c>
      <c r="D26" s="24">
        <v>0.31</v>
      </c>
      <c r="E26" s="25">
        <f t="shared" si="0"/>
        <v>6.2</v>
      </c>
      <c r="F26" s="26">
        <f t="shared" si="1"/>
        <v>5.7142857142857144</v>
      </c>
      <c r="G26" s="30">
        <v>25</v>
      </c>
      <c r="H26" s="30">
        <v>23</v>
      </c>
      <c r="I26" s="31">
        <v>2.3159582614898682</v>
      </c>
      <c r="J26" s="32">
        <v>46.319164276123047</v>
      </c>
      <c r="K26" s="32">
        <v>18.399999618530273</v>
      </c>
    </row>
    <row r="27" spans="2:11" ht="13.8" x14ac:dyDescent="0.25">
      <c r="B27" s="24">
        <v>7</v>
      </c>
      <c r="C27" s="24">
        <v>3</v>
      </c>
      <c r="D27" s="24">
        <v>0.51</v>
      </c>
      <c r="E27" s="25">
        <f t="shared" si="0"/>
        <v>10.199999999999999</v>
      </c>
      <c r="F27" s="26">
        <f t="shared" si="1"/>
        <v>8.5714285714285712</v>
      </c>
      <c r="G27" s="30">
        <v>25</v>
      </c>
      <c r="H27" s="30">
        <v>24</v>
      </c>
      <c r="I27" s="31">
        <v>2.8159582614898682</v>
      </c>
      <c r="J27" s="32">
        <v>56.319164276123047</v>
      </c>
      <c r="K27" s="32">
        <v>19.200000762939453</v>
      </c>
    </row>
    <row r="28" spans="2:11" ht="13.8" x14ac:dyDescent="0.25">
      <c r="B28" s="24">
        <v>7</v>
      </c>
      <c r="C28" s="24">
        <v>4</v>
      </c>
      <c r="D28" s="24">
        <v>0.76</v>
      </c>
      <c r="E28" s="25">
        <f t="shared" si="0"/>
        <v>15.2</v>
      </c>
      <c r="F28" s="26">
        <f t="shared" si="1"/>
        <v>11.428571428571429</v>
      </c>
      <c r="G28" s="30">
        <v>25</v>
      </c>
      <c r="H28" s="30">
        <v>25</v>
      </c>
      <c r="I28" s="31">
        <v>3.8159582614898682</v>
      </c>
      <c r="J28" s="32">
        <v>76.319168090820313</v>
      </c>
      <c r="K28" s="32">
        <v>20</v>
      </c>
    </row>
    <row r="29" spans="2:11" ht="13.8" x14ac:dyDescent="0.25">
      <c r="B29" s="24">
        <v>7</v>
      </c>
      <c r="C29" s="24">
        <v>5</v>
      </c>
      <c r="D29" s="24">
        <v>1.093</v>
      </c>
      <c r="E29" s="25">
        <f t="shared" si="0"/>
        <v>21.86</v>
      </c>
      <c r="F29" s="26">
        <f t="shared" si="1"/>
        <v>14.285714285714286</v>
      </c>
      <c r="G29" s="30"/>
      <c r="H29" s="30"/>
      <c r="I29" s="31"/>
      <c r="J29" s="32"/>
      <c r="K29" s="32"/>
    </row>
    <row r="30" spans="2:11" ht="13.8" x14ac:dyDescent="0.25">
      <c r="B30" s="24">
        <v>7</v>
      </c>
      <c r="C30" s="24">
        <v>6</v>
      </c>
      <c r="D30" s="24">
        <v>1.593</v>
      </c>
      <c r="E30" s="25">
        <f t="shared" si="0"/>
        <v>31.86</v>
      </c>
      <c r="F30" s="26">
        <f t="shared" si="1"/>
        <v>17.142857142857142</v>
      </c>
      <c r="G30" s="30"/>
      <c r="H30" s="30"/>
      <c r="I30" s="31"/>
      <c r="J30" s="32"/>
      <c r="K30" s="32"/>
    </row>
    <row r="31" spans="2:11" ht="13.8" x14ac:dyDescent="0.25">
      <c r="B31" s="24">
        <v>7</v>
      </c>
      <c r="C31" s="24">
        <v>7</v>
      </c>
      <c r="D31" s="24">
        <v>2.593</v>
      </c>
      <c r="E31" s="25">
        <f t="shared" si="0"/>
        <v>51.86</v>
      </c>
      <c r="F31" s="26">
        <f t="shared" si="1"/>
        <v>20</v>
      </c>
      <c r="G31" s="30"/>
      <c r="H31" s="30"/>
      <c r="I31" s="31"/>
      <c r="J31" s="32"/>
      <c r="K31" s="32"/>
    </row>
    <row r="32" spans="2:11" ht="13.8" x14ac:dyDescent="0.25">
      <c r="B32" s="24">
        <v>8</v>
      </c>
      <c r="C32" s="24">
        <v>1</v>
      </c>
      <c r="D32" s="24">
        <v>0.125</v>
      </c>
      <c r="E32" s="25">
        <f t="shared" si="0"/>
        <v>2.5</v>
      </c>
      <c r="F32" s="26">
        <f t="shared" si="1"/>
        <v>2.5</v>
      </c>
      <c r="G32" s="30"/>
      <c r="H32" s="30"/>
      <c r="I32" s="31"/>
      <c r="J32" s="32"/>
      <c r="K32" s="32"/>
    </row>
    <row r="33" spans="2:11" ht="13.8" x14ac:dyDescent="0.25">
      <c r="B33" s="24">
        <v>8</v>
      </c>
      <c r="C33" s="24">
        <v>2</v>
      </c>
      <c r="D33" s="24">
        <v>0.26800000000000002</v>
      </c>
      <c r="E33" s="25">
        <f t="shared" si="0"/>
        <v>5.36</v>
      </c>
      <c r="F33" s="26">
        <f t="shared" si="1"/>
        <v>5</v>
      </c>
      <c r="G33" s="30"/>
      <c r="H33" s="30"/>
      <c r="I33" s="31"/>
      <c r="J33" s="32"/>
      <c r="K33" s="32"/>
    </row>
    <row r="34" spans="2:11" ht="13.8" x14ac:dyDescent="0.25">
      <c r="B34" s="24">
        <v>8</v>
      </c>
      <c r="C34" s="24">
        <v>3</v>
      </c>
      <c r="D34" s="24">
        <v>0.435</v>
      </c>
      <c r="E34" s="25">
        <f t="shared" si="0"/>
        <v>8.6999999999999993</v>
      </c>
      <c r="F34" s="26">
        <f t="shared" si="1"/>
        <v>7.5</v>
      </c>
      <c r="G34" s="30"/>
      <c r="H34" s="30"/>
      <c r="I34" s="31"/>
      <c r="J34" s="32"/>
      <c r="K34" s="32"/>
    </row>
    <row r="35" spans="2:11" ht="13.8" x14ac:dyDescent="0.25">
      <c r="B35" s="24">
        <v>8</v>
      </c>
      <c r="C35" s="24">
        <v>4</v>
      </c>
      <c r="D35" s="24">
        <v>0.63500000000000001</v>
      </c>
      <c r="E35" s="25">
        <f t="shared" si="0"/>
        <v>12.7</v>
      </c>
      <c r="F35" s="26">
        <f t="shared" si="1"/>
        <v>10</v>
      </c>
      <c r="G35" s="30"/>
      <c r="H35" s="30"/>
      <c r="I35" s="31"/>
      <c r="J35" s="32"/>
      <c r="K35" s="32"/>
    </row>
    <row r="36" spans="2:11" ht="13.8" x14ac:dyDescent="0.25">
      <c r="B36" s="24">
        <v>8</v>
      </c>
      <c r="C36" s="24">
        <v>5</v>
      </c>
      <c r="D36" s="24">
        <v>0.88500000000000001</v>
      </c>
      <c r="E36" s="25">
        <f t="shared" si="0"/>
        <v>17.7</v>
      </c>
      <c r="F36" s="26">
        <f t="shared" si="1"/>
        <v>12.5</v>
      </c>
      <c r="G36" s="30"/>
      <c r="H36" s="30"/>
      <c r="I36" s="31"/>
      <c r="J36" s="32"/>
      <c r="K36" s="32"/>
    </row>
    <row r="37" spans="2:11" ht="13.8" x14ac:dyDescent="0.25">
      <c r="B37" s="24">
        <v>8</v>
      </c>
      <c r="C37" s="24">
        <v>6</v>
      </c>
      <c r="D37" s="24">
        <v>1.218</v>
      </c>
      <c r="E37" s="25">
        <f t="shared" si="0"/>
        <v>24.36</v>
      </c>
      <c r="F37" s="26">
        <f t="shared" si="1"/>
        <v>15</v>
      </c>
      <c r="G37" s="30"/>
      <c r="H37" s="30"/>
      <c r="I37" s="31"/>
      <c r="J37" s="32"/>
      <c r="K37" s="32"/>
    </row>
    <row r="38" spans="2:11" ht="13.8" x14ac:dyDescent="0.25">
      <c r="B38" s="24">
        <v>8</v>
      </c>
      <c r="C38" s="24">
        <v>7</v>
      </c>
      <c r="D38" s="24">
        <v>1.718</v>
      </c>
      <c r="E38" s="25">
        <f t="shared" si="0"/>
        <v>34.36</v>
      </c>
      <c r="F38" s="26">
        <f t="shared" si="1"/>
        <v>17.5</v>
      </c>
      <c r="G38" s="30"/>
      <c r="H38" s="30"/>
      <c r="I38" s="31"/>
      <c r="J38" s="32"/>
      <c r="K38" s="32"/>
    </row>
    <row r="39" spans="2:11" ht="13.8" x14ac:dyDescent="0.25">
      <c r="B39" s="24">
        <v>8</v>
      </c>
      <c r="C39" s="24">
        <v>8</v>
      </c>
      <c r="D39" s="24">
        <v>2.718</v>
      </c>
      <c r="E39" s="25">
        <f t="shared" si="0"/>
        <v>54.36</v>
      </c>
      <c r="F39" s="26">
        <f t="shared" si="1"/>
        <v>20</v>
      </c>
      <c r="G39" s="30"/>
      <c r="H39" s="30"/>
      <c r="I39" s="31"/>
      <c r="J39" s="32"/>
      <c r="K39" s="32"/>
    </row>
    <row r="40" spans="2:11" ht="13.8" x14ac:dyDescent="0.25">
      <c r="B40" s="24">
        <v>9</v>
      </c>
      <c r="C40" s="24">
        <v>1</v>
      </c>
      <c r="D40" s="24">
        <v>0.111</v>
      </c>
      <c r="E40" s="25">
        <f t="shared" si="0"/>
        <v>2.2200000000000002</v>
      </c>
      <c r="F40" s="26">
        <f t="shared" si="1"/>
        <v>2.2222222222222223</v>
      </c>
      <c r="G40" s="30"/>
      <c r="H40" s="30"/>
      <c r="I40" s="31"/>
      <c r="J40" s="32"/>
      <c r="K40" s="32"/>
    </row>
    <row r="41" spans="2:11" ht="13.8" x14ac:dyDescent="0.25">
      <c r="B41" s="24">
        <v>9</v>
      </c>
      <c r="C41" s="24">
        <v>2</v>
      </c>
      <c r="D41" s="24">
        <v>0.23599999999999999</v>
      </c>
      <c r="E41" s="25">
        <f t="shared" si="0"/>
        <v>4.72</v>
      </c>
      <c r="F41" s="26">
        <f t="shared" si="1"/>
        <v>4.4444444444444446</v>
      </c>
      <c r="G41" s="30"/>
      <c r="H41" s="30"/>
      <c r="I41" s="31"/>
      <c r="J41" s="32"/>
      <c r="K41" s="32"/>
    </row>
    <row r="42" spans="2:11" ht="13.8" x14ac:dyDescent="0.25">
      <c r="B42" s="24">
        <v>9</v>
      </c>
      <c r="C42" s="24">
        <v>3</v>
      </c>
      <c r="D42" s="24">
        <v>0.379</v>
      </c>
      <c r="E42" s="25">
        <f t="shared" si="0"/>
        <v>7.58</v>
      </c>
      <c r="F42" s="26">
        <f t="shared" si="1"/>
        <v>6.666666666666667</v>
      </c>
      <c r="G42" s="30"/>
      <c r="H42" s="30"/>
      <c r="I42" s="31"/>
      <c r="J42" s="32"/>
      <c r="K42" s="32"/>
    </row>
    <row r="43" spans="2:11" ht="13.8" x14ac:dyDescent="0.25">
      <c r="B43" s="24">
        <v>9</v>
      </c>
      <c r="C43" s="24">
        <v>4</v>
      </c>
      <c r="D43" s="24">
        <v>0.54600000000000004</v>
      </c>
      <c r="E43" s="25">
        <f t="shared" si="0"/>
        <v>10.920000000000002</v>
      </c>
      <c r="F43" s="26">
        <f t="shared" si="1"/>
        <v>8.8888888888888893</v>
      </c>
      <c r="G43" s="30"/>
      <c r="H43" s="30"/>
      <c r="I43" s="31"/>
      <c r="J43" s="32"/>
      <c r="K43" s="32"/>
    </row>
    <row r="44" spans="2:11" ht="13.8" x14ac:dyDescent="0.25">
      <c r="B44" s="24">
        <v>9</v>
      </c>
      <c r="C44" s="24">
        <v>5</v>
      </c>
      <c r="D44" s="24">
        <v>0.746</v>
      </c>
      <c r="E44" s="25">
        <f t="shared" si="0"/>
        <v>14.92</v>
      </c>
      <c r="F44" s="26">
        <f t="shared" si="1"/>
        <v>11.111111111111111</v>
      </c>
      <c r="G44" s="30"/>
      <c r="H44" s="30"/>
      <c r="I44" s="31"/>
      <c r="J44" s="32"/>
      <c r="K44" s="32"/>
    </row>
    <row r="45" spans="2:11" ht="13.8" x14ac:dyDescent="0.25">
      <c r="B45" s="24">
        <v>9</v>
      </c>
      <c r="C45" s="24">
        <v>6</v>
      </c>
      <c r="D45" s="24">
        <v>0.996</v>
      </c>
      <c r="E45" s="25">
        <f t="shared" si="0"/>
        <v>19.920000000000002</v>
      </c>
      <c r="F45" s="26">
        <f t="shared" si="1"/>
        <v>13.333333333333334</v>
      </c>
      <c r="G45" s="30"/>
      <c r="H45" s="30"/>
      <c r="I45" s="31"/>
      <c r="J45" s="32"/>
      <c r="K45" s="32"/>
    </row>
    <row r="46" spans="2:11" ht="13.8" x14ac:dyDescent="0.25">
      <c r="B46" s="24">
        <v>9</v>
      </c>
      <c r="C46" s="24">
        <v>7</v>
      </c>
      <c r="D46" s="24">
        <v>1.329</v>
      </c>
      <c r="E46" s="25">
        <f t="shared" si="0"/>
        <v>26.58</v>
      </c>
      <c r="F46" s="26">
        <f t="shared" si="1"/>
        <v>15.555555555555555</v>
      </c>
      <c r="G46" s="30"/>
      <c r="H46" s="30"/>
      <c r="I46" s="31"/>
      <c r="J46" s="32"/>
      <c r="K46" s="32"/>
    </row>
    <row r="47" spans="2:11" ht="13.8" x14ac:dyDescent="0.25">
      <c r="B47" s="24">
        <v>9</v>
      </c>
      <c r="C47" s="24">
        <v>8</v>
      </c>
      <c r="D47" s="24">
        <v>1.829</v>
      </c>
      <c r="E47" s="25">
        <f t="shared" si="0"/>
        <v>36.58</v>
      </c>
      <c r="F47" s="26">
        <f t="shared" si="1"/>
        <v>17.777777777777779</v>
      </c>
      <c r="G47" s="30"/>
      <c r="H47" s="30"/>
      <c r="I47" s="31"/>
      <c r="J47" s="32"/>
      <c r="K47" s="32"/>
    </row>
    <row r="48" spans="2:11" ht="13.8" x14ac:dyDescent="0.25">
      <c r="B48" s="24">
        <v>9</v>
      </c>
      <c r="C48" s="24">
        <v>9</v>
      </c>
      <c r="D48" s="24">
        <v>2.8290000000000002</v>
      </c>
      <c r="E48" s="25">
        <f t="shared" si="0"/>
        <v>56.580000000000005</v>
      </c>
      <c r="F48" s="26">
        <f t="shared" si="1"/>
        <v>20</v>
      </c>
      <c r="G48" s="30"/>
      <c r="H48" s="30"/>
      <c r="I48" s="31"/>
      <c r="J48" s="32"/>
      <c r="K48" s="32"/>
    </row>
    <row r="49" spans="2:11" ht="13.8" x14ac:dyDescent="0.25">
      <c r="B49" s="24">
        <v>10</v>
      </c>
      <c r="C49" s="24">
        <v>1</v>
      </c>
      <c r="D49" s="24">
        <v>0.1</v>
      </c>
      <c r="E49" s="25">
        <f t="shared" si="0"/>
        <v>2</v>
      </c>
      <c r="F49" s="26">
        <f t="shared" si="1"/>
        <v>2</v>
      </c>
      <c r="G49" s="31"/>
      <c r="H49" s="32"/>
      <c r="I49" s="32"/>
      <c r="J49" s="32"/>
      <c r="K49" s="32"/>
    </row>
    <row r="50" spans="2:11" ht="13.8" x14ac:dyDescent="0.25">
      <c r="B50" s="24">
        <v>10</v>
      </c>
      <c r="C50" s="24">
        <v>2</v>
      </c>
      <c r="D50" s="24">
        <v>0.21099999999999999</v>
      </c>
      <c r="E50" s="25">
        <f t="shared" si="0"/>
        <v>4.22</v>
      </c>
      <c r="F50" s="26">
        <f t="shared" si="1"/>
        <v>4</v>
      </c>
      <c r="G50" s="31"/>
      <c r="H50" s="32"/>
      <c r="I50" s="32"/>
      <c r="J50" s="32"/>
      <c r="K50" s="32"/>
    </row>
    <row r="51" spans="2:11" ht="13.8" x14ac:dyDescent="0.25">
      <c r="B51" s="24">
        <v>10</v>
      </c>
      <c r="C51" s="24">
        <v>3</v>
      </c>
      <c r="D51" s="24">
        <v>0.33600000000000002</v>
      </c>
      <c r="E51" s="25">
        <f t="shared" si="0"/>
        <v>6.7200000000000006</v>
      </c>
      <c r="F51" s="26">
        <f t="shared" si="1"/>
        <v>6</v>
      </c>
      <c r="G51" s="31"/>
      <c r="H51" s="32"/>
      <c r="I51" s="32"/>
      <c r="J51" s="32"/>
      <c r="K51" s="32"/>
    </row>
    <row r="52" spans="2:11" ht="13.8" x14ac:dyDescent="0.25">
      <c r="B52" s="24">
        <v>10</v>
      </c>
      <c r="C52" s="24">
        <v>4</v>
      </c>
      <c r="D52" s="24">
        <v>0.47899999999999998</v>
      </c>
      <c r="E52" s="25">
        <f t="shared" si="0"/>
        <v>9.58</v>
      </c>
      <c r="F52" s="26">
        <f t="shared" si="1"/>
        <v>8</v>
      </c>
      <c r="G52" s="31"/>
      <c r="H52" s="32"/>
      <c r="I52" s="32"/>
      <c r="J52" s="32"/>
      <c r="K52" s="32"/>
    </row>
    <row r="53" spans="2:11" ht="13.8" x14ac:dyDescent="0.25">
      <c r="B53" s="24">
        <v>10</v>
      </c>
      <c r="C53" s="24">
        <v>5</v>
      </c>
      <c r="D53" s="24">
        <v>0.64600000000000002</v>
      </c>
      <c r="E53" s="25">
        <f t="shared" si="0"/>
        <v>12.92</v>
      </c>
      <c r="F53" s="26">
        <f t="shared" si="1"/>
        <v>10</v>
      </c>
      <c r="G53" s="31"/>
      <c r="H53" s="32"/>
      <c r="I53" s="32"/>
      <c r="J53" s="32"/>
      <c r="K53" s="32"/>
    </row>
    <row r="54" spans="2:11" ht="13.8" x14ac:dyDescent="0.25">
      <c r="B54" s="24">
        <v>10</v>
      </c>
      <c r="C54" s="24">
        <v>6</v>
      </c>
      <c r="D54" s="24">
        <v>0.84599999999999997</v>
      </c>
      <c r="E54" s="25">
        <f t="shared" si="0"/>
        <v>16.919999999999998</v>
      </c>
      <c r="F54" s="26">
        <f t="shared" si="1"/>
        <v>12</v>
      </c>
      <c r="G54" s="31"/>
      <c r="H54" s="32"/>
      <c r="I54" s="32"/>
      <c r="J54" s="32"/>
      <c r="K54" s="32"/>
    </row>
    <row r="55" spans="2:11" ht="13.8" x14ac:dyDescent="0.25">
      <c r="B55" s="24">
        <v>10</v>
      </c>
      <c r="C55" s="24">
        <v>7</v>
      </c>
      <c r="D55" s="24">
        <v>1.0960000000000001</v>
      </c>
      <c r="E55" s="25">
        <f t="shared" si="0"/>
        <v>21.92</v>
      </c>
      <c r="F55" s="26">
        <f t="shared" si="1"/>
        <v>14</v>
      </c>
      <c r="G55" s="31"/>
      <c r="H55" s="32"/>
      <c r="I55" s="32"/>
      <c r="J55" s="32"/>
      <c r="K55" s="32"/>
    </row>
    <row r="56" spans="2:11" ht="13.8" x14ac:dyDescent="0.25">
      <c r="B56" s="24">
        <v>10</v>
      </c>
      <c r="C56" s="24">
        <v>8</v>
      </c>
      <c r="D56" s="24">
        <v>1.429</v>
      </c>
      <c r="E56" s="25">
        <f t="shared" si="0"/>
        <v>28.580000000000002</v>
      </c>
      <c r="F56" s="26">
        <f t="shared" si="1"/>
        <v>16</v>
      </c>
      <c r="G56" s="31"/>
      <c r="H56" s="32"/>
      <c r="I56" s="32"/>
      <c r="J56" s="32"/>
      <c r="K56" s="32"/>
    </row>
    <row r="57" spans="2:11" ht="13.8" x14ac:dyDescent="0.25">
      <c r="B57" s="24">
        <v>10</v>
      </c>
      <c r="C57" s="24">
        <v>9</v>
      </c>
      <c r="D57" s="24">
        <v>1.929</v>
      </c>
      <c r="E57" s="25">
        <f t="shared" si="0"/>
        <v>38.58</v>
      </c>
      <c r="F57" s="26">
        <f t="shared" si="1"/>
        <v>18</v>
      </c>
      <c r="G57" s="31"/>
      <c r="H57" s="32"/>
      <c r="I57" s="32"/>
      <c r="J57" s="32"/>
      <c r="K57" s="32"/>
    </row>
    <row r="58" spans="2:11" ht="13.8" x14ac:dyDescent="0.25">
      <c r="B58" s="24">
        <v>10</v>
      </c>
      <c r="C58" s="24">
        <v>10</v>
      </c>
      <c r="D58" s="24">
        <v>2.9289999999999998</v>
      </c>
      <c r="E58" s="25">
        <f t="shared" si="0"/>
        <v>58.58</v>
      </c>
      <c r="F58" s="26">
        <f t="shared" si="1"/>
        <v>20</v>
      </c>
      <c r="G58" s="31"/>
      <c r="H58" s="32"/>
      <c r="I58" s="32"/>
      <c r="J58" s="32"/>
      <c r="K58" s="32"/>
    </row>
    <row r="59" spans="2:11" ht="13.8" x14ac:dyDescent="0.25">
      <c r="B59" s="24">
        <v>11</v>
      </c>
      <c r="C59" s="24">
        <v>1</v>
      </c>
      <c r="D59" s="24">
        <v>9.0999999999999998E-2</v>
      </c>
      <c r="E59" s="25">
        <f t="shared" si="0"/>
        <v>1.8199999999999998</v>
      </c>
      <c r="F59" s="26">
        <f t="shared" si="1"/>
        <v>1.8181818181818181</v>
      </c>
      <c r="G59" s="30"/>
      <c r="H59" s="30"/>
      <c r="I59" s="31"/>
      <c r="J59" s="32"/>
      <c r="K59" s="32"/>
    </row>
    <row r="60" spans="2:11" ht="13.8" x14ac:dyDescent="0.25">
      <c r="B60" s="24">
        <v>11</v>
      </c>
      <c r="C60" s="24">
        <v>2</v>
      </c>
      <c r="D60" s="24">
        <v>0.191</v>
      </c>
      <c r="E60" s="25">
        <f t="shared" si="0"/>
        <v>3.8200000000000003</v>
      </c>
      <c r="F60" s="26">
        <f t="shared" si="1"/>
        <v>3.6363636363636362</v>
      </c>
      <c r="G60" s="30"/>
      <c r="H60" s="30"/>
      <c r="I60" s="31"/>
      <c r="J60" s="32"/>
      <c r="K60" s="32"/>
    </row>
    <row r="61" spans="2:11" ht="13.8" x14ac:dyDescent="0.25">
      <c r="B61" s="24">
        <v>11</v>
      </c>
      <c r="C61" s="24">
        <v>3</v>
      </c>
      <c r="D61" s="24">
        <v>0.30199999999999999</v>
      </c>
      <c r="E61" s="25">
        <f t="shared" si="0"/>
        <v>6.04</v>
      </c>
      <c r="F61" s="26">
        <f t="shared" si="1"/>
        <v>5.4545454545454541</v>
      </c>
      <c r="G61" s="30"/>
      <c r="H61" s="30"/>
      <c r="I61" s="31"/>
      <c r="J61" s="32"/>
      <c r="K61" s="32"/>
    </row>
    <row r="62" spans="2:11" ht="13.8" x14ac:dyDescent="0.25">
      <c r="B62" s="24">
        <v>11</v>
      </c>
      <c r="C62" s="24">
        <v>4</v>
      </c>
      <c r="D62" s="24">
        <v>0.42699999999999999</v>
      </c>
      <c r="E62" s="25">
        <f t="shared" si="0"/>
        <v>8.5399999999999991</v>
      </c>
      <c r="F62" s="26">
        <f t="shared" si="1"/>
        <v>7.2727272727272725</v>
      </c>
      <c r="G62" s="30"/>
      <c r="H62" s="30"/>
      <c r="I62" s="31"/>
      <c r="J62" s="32"/>
      <c r="K62" s="32"/>
    </row>
    <row r="63" spans="2:11" ht="13.8" x14ac:dyDescent="0.25">
      <c r="B63" s="24">
        <v>11</v>
      </c>
      <c r="C63" s="24">
        <v>5</v>
      </c>
      <c r="D63" s="24">
        <v>0.56999999999999995</v>
      </c>
      <c r="E63" s="25">
        <f t="shared" si="0"/>
        <v>11.399999999999999</v>
      </c>
      <c r="F63" s="26">
        <f t="shared" si="1"/>
        <v>9.0909090909090917</v>
      </c>
      <c r="I63" s="31"/>
      <c r="J63" s="32"/>
      <c r="K63" s="32"/>
    </row>
    <row r="64" spans="2:11" ht="13.8" x14ac:dyDescent="0.25">
      <c r="B64" s="24">
        <v>11</v>
      </c>
      <c r="C64" s="24">
        <v>6</v>
      </c>
      <c r="D64" s="24">
        <v>0.73699999999999999</v>
      </c>
      <c r="E64" s="25">
        <f t="shared" si="0"/>
        <v>14.74</v>
      </c>
      <c r="F64" s="26">
        <f t="shared" si="1"/>
        <v>10.909090909090908</v>
      </c>
      <c r="I64" s="31"/>
      <c r="J64" s="32"/>
      <c r="K64" s="32"/>
    </row>
    <row r="65" spans="2:11" ht="13.8" x14ac:dyDescent="0.25">
      <c r="B65" s="24">
        <v>11</v>
      </c>
      <c r="C65" s="24">
        <v>7</v>
      </c>
      <c r="D65" s="24">
        <v>0.93700000000000006</v>
      </c>
      <c r="E65" s="25">
        <f t="shared" si="0"/>
        <v>18.740000000000002</v>
      </c>
      <c r="F65" s="26">
        <f t="shared" si="1"/>
        <v>12.727272727272727</v>
      </c>
      <c r="I65" s="31"/>
      <c r="J65" s="32"/>
      <c r="K65" s="32"/>
    </row>
    <row r="66" spans="2:11" ht="13.8" x14ac:dyDescent="0.25">
      <c r="B66" s="24">
        <v>11</v>
      </c>
      <c r="C66" s="24">
        <v>8</v>
      </c>
      <c r="D66" s="24">
        <v>1.1870000000000001</v>
      </c>
      <c r="E66" s="25">
        <f t="shared" si="0"/>
        <v>23.740000000000002</v>
      </c>
      <c r="F66" s="26">
        <f t="shared" si="1"/>
        <v>14.545454545454545</v>
      </c>
      <c r="I66" s="31"/>
      <c r="J66" s="32"/>
      <c r="K66" s="32"/>
    </row>
    <row r="67" spans="2:11" ht="13.8" x14ac:dyDescent="0.25">
      <c r="B67" s="24">
        <v>11</v>
      </c>
      <c r="C67" s="24">
        <v>9</v>
      </c>
      <c r="D67" s="24">
        <v>1.52</v>
      </c>
      <c r="E67" s="25">
        <f t="shared" si="0"/>
        <v>30.4</v>
      </c>
      <c r="F67" s="26">
        <f t="shared" si="1"/>
        <v>16.363636363636363</v>
      </c>
      <c r="I67" s="31"/>
      <c r="J67" s="32"/>
      <c r="K67" s="32"/>
    </row>
    <row r="68" spans="2:11" ht="13.8" x14ac:dyDescent="0.25">
      <c r="B68" s="24">
        <v>11</v>
      </c>
      <c r="C68" s="24">
        <v>10</v>
      </c>
      <c r="D68" s="24">
        <v>2.02</v>
      </c>
      <c r="E68" s="25">
        <f t="shared" si="0"/>
        <v>40.4</v>
      </c>
      <c r="F68" s="26">
        <f t="shared" si="1"/>
        <v>18.181818181818183</v>
      </c>
      <c r="I68" s="31"/>
      <c r="J68" s="32"/>
      <c r="K68" s="32"/>
    </row>
    <row r="69" spans="2:11" ht="13.8" x14ac:dyDescent="0.25">
      <c r="B69" s="24">
        <v>11</v>
      </c>
      <c r="C69" s="24">
        <v>11</v>
      </c>
      <c r="D69" s="24">
        <v>3.02</v>
      </c>
      <c r="E69" s="25">
        <f t="shared" ref="E69:E132" si="2">$C$2*D69</f>
        <v>60.4</v>
      </c>
      <c r="F69" s="26">
        <f t="shared" ref="F69:F132" si="3">C69*$C$2/B69</f>
        <v>20</v>
      </c>
      <c r="I69" s="31"/>
      <c r="J69" s="32"/>
      <c r="K69" s="32"/>
    </row>
    <row r="70" spans="2:11" ht="13.8" x14ac:dyDescent="0.25">
      <c r="B70" s="24">
        <v>12</v>
      </c>
      <c r="C70" s="24">
        <v>1</v>
      </c>
      <c r="D70" s="24">
        <v>8.3000000000000004E-2</v>
      </c>
      <c r="E70" s="25">
        <f t="shared" si="2"/>
        <v>1.6600000000000001</v>
      </c>
      <c r="F70" s="26">
        <f t="shared" si="3"/>
        <v>1.6666666666666667</v>
      </c>
      <c r="I70" s="31"/>
      <c r="J70" s="32"/>
      <c r="K70" s="32"/>
    </row>
    <row r="71" spans="2:11" ht="13.8" x14ac:dyDescent="0.25">
      <c r="B71" s="24">
        <v>12</v>
      </c>
      <c r="C71" s="24">
        <v>2</v>
      </c>
      <c r="D71" s="24">
        <v>0.17399999999999999</v>
      </c>
      <c r="E71" s="25">
        <f t="shared" si="2"/>
        <v>3.4799999999999995</v>
      </c>
      <c r="F71" s="26">
        <f t="shared" si="3"/>
        <v>3.3333333333333335</v>
      </c>
      <c r="I71" s="31"/>
      <c r="J71" s="32"/>
      <c r="K71" s="32"/>
    </row>
    <row r="72" spans="2:11" ht="13.8" x14ac:dyDescent="0.25">
      <c r="B72" s="24">
        <v>12</v>
      </c>
      <c r="C72" s="24">
        <v>3</v>
      </c>
      <c r="D72" s="24">
        <v>0.27400000000000002</v>
      </c>
      <c r="E72" s="25">
        <f t="shared" si="2"/>
        <v>5.48</v>
      </c>
      <c r="F72" s="26">
        <f t="shared" si="3"/>
        <v>5</v>
      </c>
      <c r="I72" s="31"/>
      <c r="J72" s="32"/>
      <c r="K72" s="32"/>
    </row>
    <row r="73" spans="2:11" ht="13.8" x14ac:dyDescent="0.25">
      <c r="B73" s="24">
        <v>12</v>
      </c>
      <c r="C73" s="24">
        <v>4</v>
      </c>
      <c r="D73" s="24">
        <v>0.38500000000000001</v>
      </c>
      <c r="E73" s="25">
        <f t="shared" si="2"/>
        <v>7.7</v>
      </c>
      <c r="F73" s="26">
        <f t="shared" si="3"/>
        <v>6.666666666666667</v>
      </c>
      <c r="I73" s="31"/>
      <c r="J73" s="32"/>
      <c r="K73" s="32"/>
    </row>
    <row r="74" spans="2:11" ht="13.8" x14ac:dyDescent="0.25">
      <c r="B74" s="24">
        <v>12</v>
      </c>
      <c r="C74" s="24">
        <v>5</v>
      </c>
      <c r="D74" s="24">
        <v>0.51</v>
      </c>
      <c r="E74" s="25">
        <f t="shared" si="2"/>
        <v>10.199999999999999</v>
      </c>
      <c r="F74" s="26">
        <f t="shared" si="3"/>
        <v>8.3333333333333339</v>
      </c>
      <c r="I74" s="31"/>
      <c r="J74" s="32"/>
      <c r="K74" s="32"/>
    </row>
    <row r="75" spans="2:11" ht="13.8" x14ac:dyDescent="0.25">
      <c r="B75" s="24">
        <v>12</v>
      </c>
      <c r="C75" s="24">
        <v>6</v>
      </c>
      <c r="D75" s="24">
        <v>0.65300000000000002</v>
      </c>
      <c r="E75" s="25">
        <f t="shared" si="2"/>
        <v>13.06</v>
      </c>
      <c r="F75" s="26">
        <f t="shared" si="3"/>
        <v>10</v>
      </c>
      <c r="I75" s="31"/>
      <c r="J75" s="32"/>
      <c r="K75" s="32"/>
    </row>
    <row r="76" spans="2:11" ht="13.8" x14ac:dyDescent="0.25">
      <c r="B76" s="24">
        <v>12</v>
      </c>
      <c r="C76" s="24">
        <v>7</v>
      </c>
      <c r="D76" s="24">
        <v>0.82</v>
      </c>
      <c r="E76" s="25">
        <f t="shared" si="2"/>
        <v>16.399999999999999</v>
      </c>
      <c r="F76" s="26">
        <f t="shared" si="3"/>
        <v>11.666666666666666</v>
      </c>
      <c r="I76" s="31"/>
      <c r="J76" s="32"/>
      <c r="K76" s="32"/>
    </row>
    <row r="77" spans="2:11" ht="13.8" x14ac:dyDescent="0.25">
      <c r="B77" s="24">
        <v>12</v>
      </c>
      <c r="C77" s="24">
        <v>8</v>
      </c>
      <c r="D77" s="24">
        <v>1.02</v>
      </c>
      <c r="E77" s="25">
        <f t="shared" si="2"/>
        <v>20.399999999999999</v>
      </c>
      <c r="F77" s="26">
        <f t="shared" si="3"/>
        <v>13.333333333333334</v>
      </c>
      <c r="I77" s="31"/>
      <c r="J77" s="32"/>
      <c r="K77" s="32"/>
    </row>
    <row r="78" spans="2:11" ht="13.8" x14ac:dyDescent="0.25">
      <c r="B78" s="24">
        <v>12</v>
      </c>
      <c r="C78" s="24">
        <v>9</v>
      </c>
      <c r="D78" s="24">
        <v>1.27</v>
      </c>
      <c r="E78" s="25">
        <f t="shared" si="2"/>
        <v>25.4</v>
      </c>
      <c r="F78" s="26">
        <f t="shared" si="3"/>
        <v>15</v>
      </c>
      <c r="I78" s="31"/>
      <c r="J78" s="32"/>
      <c r="K78" s="32"/>
    </row>
    <row r="79" spans="2:11" ht="13.8" x14ac:dyDescent="0.25">
      <c r="B79" s="24">
        <v>12</v>
      </c>
      <c r="C79" s="24">
        <v>10</v>
      </c>
      <c r="D79" s="24">
        <v>1.603</v>
      </c>
      <c r="E79" s="25">
        <f t="shared" si="2"/>
        <v>32.06</v>
      </c>
      <c r="F79" s="26">
        <f t="shared" si="3"/>
        <v>16.666666666666668</v>
      </c>
      <c r="I79" s="31"/>
      <c r="J79" s="32"/>
      <c r="K79" s="32"/>
    </row>
    <row r="80" spans="2:11" ht="13.8" x14ac:dyDescent="0.25">
      <c r="B80" s="24">
        <v>12</v>
      </c>
      <c r="C80" s="24">
        <v>11</v>
      </c>
      <c r="D80" s="24">
        <v>2.1030000000000002</v>
      </c>
      <c r="E80" s="25">
        <f t="shared" si="2"/>
        <v>42.06</v>
      </c>
      <c r="F80" s="26">
        <f t="shared" si="3"/>
        <v>18.333333333333332</v>
      </c>
      <c r="I80" s="31"/>
      <c r="J80" s="32"/>
      <c r="K80" s="32"/>
    </row>
    <row r="81" spans="2:11" ht="13.8" x14ac:dyDescent="0.25">
      <c r="B81" s="24">
        <v>12</v>
      </c>
      <c r="C81" s="24">
        <v>12</v>
      </c>
      <c r="D81" s="24">
        <v>3.1030000000000002</v>
      </c>
      <c r="E81" s="25">
        <f t="shared" si="2"/>
        <v>62.06</v>
      </c>
      <c r="F81" s="26">
        <f t="shared" si="3"/>
        <v>20</v>
      </c>
      <c r="I81" s="31"/>
      <c r="J81" s="32"/>
      <c r="K81" s="32"/>
    </row>
    <row r="82" spans="2:11" ht="13.8" x14ac:dyDescent="0.25">
      <c r="B82" s="24">
        <v>13</v>
      </c>
      <c r="C82" s="24">
        <v>1</v>
      </c>
      <c r="D82" s="24">
        <v>7.6999999999999999E-2</v>
      </c>
      <c r="E82" s="25">
        <f t="shared" si="2"/>
        <v>1.54</v>
      </c>
      <c r="F82" s="26">
        <f t="shared" si="3"/>
        <v>1.5384615384615385</v>
      </c>
      <c r="I82" s="31"/>
      <c r="J82" s="32"/>
      <c r="K82" s="32"/>
    </row>
    <row r="83" spans="2:11" ht="13.8" x14ac:dyDescent="0.25">
      <c r="B83" s="24">
        <v>13</v>
      </c>
      <c r="C83" s="24">
        <v>2</v>
      </c>
      <c r="D83" s="24">
        <v>0.16</v>
      </c>
      <c r="E83" s="25">
        <f t="shared" si="2"/>
        <v>3.2</v>
      </c>
      <c r="F83" s="26">
        <f t="shared" si="3"/>
        <v>3.0769230769230771</v>
      </c>
      <c r="I83" s="31"/>
      <c r="J83" s="32"/>
      <c r="K83" s="32"/>
    </row>
    <row r="84" spans="2:11" ht="13.8" x14ac:dyDescent="0.25">
      <c r="B84" s="24">
        <v>13</v>
      </c>
      <c r="C84" s="24">
        <v>3</v>
      </c>
      <c r="D84" s="24">
        <v>0.251</v>
      </c>
      <c r="E84" s="25">
        <f t="shared" si="2"/>
        <v>5.0199999999999996</v>
      </c>
      <c r="F84" s="26">
        <f t="shared" si="3"/>
        <v>4.615384615384615</v>
      </c>
      <c r="I84" s="31"/>
      <c r="J84" s="32"/>
      <c r="K84" s="32"/>
    </row>
    <row r="85" spans="2:11" ht="13.8" x14ac:dyDescent="0.25">
      <c r="B85" s="24">
        <v>13</v>
      </c>
      <c r="C85" s="24">
        <v>4</v>
      </c>
      <c r="D85" s="24">
        <v>0.35099999999999998</v>
      </c>
      <c r="E85" s="25">
        <f t="shared" si="2"/>
        <v>7.02</v>
      </c>
      <c r="F85" s="26">
        <f t="shared" si="3"/>
        <v>6.1538461538461542</v>
      </c>
      <c r="I85" s="31"/>
      <c r="J85" s="32"/>
      <c r="K85" s="32"/>
    </row>
    <row r="86" spans="2:11" ht="13.8" x14ac:dyDescent="0.25">
      <c r="B86" s="24">
        <v>13</v>
      </c>
      <c r="C86" s="24">
        <v>5</v>
      </c>
      <c r="D86" s="24">
        <v>0.46200000000000002</v>
      </c>
      <c r="E86" s="25">
        <f t="shared" si="2"/>
        <v>9.24</v>
      </c>
      <c r="F86" s="26">
        <f t="shared" si="3"/>
        <v>7.6923076923076925</v>
      </c>
      <c r="I86" s="31"/>
      <c r="J86" s="32"/>
      <c r="K86" s="32"/>
    </row>
    <row r="87" spans="2:11" ht="13.8" x14ac:dyDescent="0.25">
      <c r="B87" s="24">
        <v>13</v>
      </c>
      <c r="C87" s="24">
        <v>6</v>
      </c>
      <c r="D87" s="24">
        <v>0.58699999999999997</v>
      </c>
      <c r="E87" s="25">
        <f t="shared" si="2"/>
        <v>11.739999999999998</v>
      </c>
      <c r="F87" s="26">
        <f t="shared" si="3"/>
        <v>9.2307692307692299</v>
      </c>
      <c r="I87" s="31"/>
      <c r="J87" s="32"/>
      <c r="K87" s="32"/>
    </row>
    <row r="88" spans="2:11" ht="13.8" x14ac:dyDescent="0.25">
      <c r="B88" s="24">
        <v>13</v>
      </c>
      <c r="C88" s="24">
        <v>7</v>
      </c>
      <c r="D88" s="24">
        <v>0.73</v>
      </c>
      <c r="E88" s="25">
        <f t="shared" si="2"/>
        <v>14.6</v>
      </c>
      <c r="F88" s="26">
        <f t="shared" si="3"/>
        <v>10.76923076923077</v>
      </c>
      <c r="I88" s="31"/>
      <c r="J88" s="32"/>
      <c r="K88" s="32"/>
    </row>
    <row r="89" spans="2:11" ht="13.8" x14ac:dyDescent="0.25">
      <c r="B89" s="24">
        <v>13</v>
      </c>
      <c r="C89" s="24">
        <v>8</v>
      </c>
      <c r="D89" s="24">
        <v>0.89700000000000002</v>
      </c>
      <c r="E89" s="25">
        <f t="shared" si="2"/>
        <v>17.940000000000001</v>
      </c>
      <c r="F89" s="26">
        <f t="shared" si="3"/>
        <v>12.307692307692308</v>
      </c>
      <c r="I89" s="31"/>
      <c r="J89" s="32"/>
      <c r="K89" s="32"/>
    </row>
    <row r="90" spans="2:11" ht="13.8" x14ac:dyDescent="0.25">
      <c r="B90" s="24">
        <v>13</v>
      </c>
      <c r="C90" s="24">
        <v>9</v>
      </c>
      <c r="D90" s="24">
        <v>1.097</v>
      </c>
      <c r="E90" s="25">
        <f t="shared" si="2"/>
        <v>21.939999999999998</v>
      </c>
      <c r="F90" s="26">
        <f t="shared" si="3"/>
        <v>13.846153846153847</v>
      </c>
      <c r="I90" s="31"/>
      <c r="J90" s="32"/>
      <c r="K90" s="32"/>
    </row>
    <row r="91" spans="2:11" ht="13.8" x14ac:dyDescent="0.25">
      <c r="B91" s="24">
        <v>13</v>
      </c>
      <c r="C91" s="24">
        <v>10</v>
      </c>
      <c r="D91" s="24">
        <v>1.347</v>
      </c>
      <c r="E91" s="25">
        <f t="shared" si="2"/>
        <v>26.939999999999998</v>
      </c>
      <c r="F91" s="26">
        <f t="shared" si="3"/>
        <v>15.384615384615385</v>
      </c>
      <c r="I91" s="31"/>
      <c r="J91" s="32"/>
      <c r="K91" s="32"/>
    </row>
    <row r="92" spans="2:11" ht="13.8" x14ac:dyDescent="0.25">
      <c r="B92" s="24">
        <v>13</v>
      </c>
      <c r="C92" s="24">
        <v>11</v>
      </c>
      <c r="D92" s="24">
        <v>1.68</v>
      </c>
      <c r="E92" s="25">
        <f t="shared" si="2"/>
        <v>33.6</v>
      </c>
      <c r="F92" s="26">
        <f t="shared" si="3"/>
        <v>16.923076923076923</v>
      </c>
      <c r="I92" s="31"/>
      <c r="J92" s="32"/>
      <c r="K92" s="32"/>
    </row>
    <row r="93" spans="2:11" ht="13.8" x14ac:dyDescent="0.25">
      <c r="B93" s="24">
        <v>13</v>
      </c>
      <c r="C93" s="24">
        <v>12</v>
      </c>
      <c r="D93" s="24">
        <v>2.1800000000000002</v>
      </c>
      <c r="E93" s="25">
        <f t="shared" si="2"/>
        <v>43.6</v>
      </c>
      <c r="F93" s="26">
        <f t="shared" si="3"/>
        <v>18.46153846153846</v>
      </c>
      <c r="I93" s="31"/>
      <c r="J93" s="32"/>
      <c r="K93" s="32"/>
    </row>
    <row r="94" spans="2:11" ht="13.8" x14ac:dyDescent="0.25">
      <c r="B94" s="24">
        <v>13</v>
      </c>
      <c r="C94" s="24">
        <v>13</v>
      </c>
      <c r="D94" s="24">
        <v>3.18</v>
      </c>
      <c r="E94" s="25">
        <f t="shared" si="2"/>
        <v>63.6</v>
      </c>
      <c r="F94" s="26">
        <f t="shared" si="3"/>
        <v>20</v>
      </c>
      <c r="I94" s="31"/>
      <c r="J94" s="32"/>
      <c r="K94" s="32"/>
    </row>
    <row r="95" spans="2:11" ht="13.8" x14ac:dyDescent="0.25">
      <c r="B95" s="24">
        <v>14</v>
      </c>
      <c r="C95" s="24">
        <v>1</v>
      </c>
      <c r="D95" s="24">
        <v>7.0999999999999994E-2</v>
      </c>
      <c r="E95" s="25">
        <f t="shared" si="2"/>
        <v>1.42</v>
      </c>
      <c r="F95" s="26">
        <f t="shared" si="3"/>
        <v>1.4285714285714286</v>
      </c>
      <c r="I95" s="31"/>
      <c r="J95" s="32"/>
      <c r="K95" s="32"/>
    </row>
    <row r="96" spans="2:11" ht="13.8" x14ac:dyDescent="0.25">
      <c r="B96" s="24">
        <v>14</v>
      </c>
      <c r="C96" s="24">
        <v>2</v>
      </c>
      <c r="D96" s="24">
        <v>0.14799999999999999</v>
      </c>
      <c r="E96" s="25">
        <f t="shared" si="2"/>
        <v>2.96</v>
      </c>
      <c r="F96" s="26">
        <f t="shared" si="3"/>
        <v>2.8571428571428572</v>
      </c>
      <c r="I96" s="31"/>
      <c r="J96" s="32"/>
      <c r="K96" s="32"/>
    </row>
    <row r="97" spans="2:11" ht="13.8" x14ac:dyDescent="0.25">
      <c r="B97" s="24">
        <v>14</v>
      </c>
      <c r="C97" s="24">
        <v>3</v>
      </c>
      <c r="D97" s="24">
        <v>0.23200000000000001</v>
      </c>
      <c r="E97" s="25">
        <f t="shared" si="2"/>
        <v>4.6400000000000006</v>
      </c>
      <c r="F97" s="26">
        <f t="shared" si="3"/>
        <v>4.2857142857142856</v>
      </c>
      <c r="I97" s="31"/>
      <c r="J97" s="32"/>
      <c r="K97" s="32"/>
    </row>
    <row r="98" spans="2:11" ht="13.8" x14ac:dyDescent="0.25">
      <c r="B98" s="24">
        <v>14</v>
      </c>
      <c r="C98" s="24">
        <v>4</v>
      </c>
      <c r="D98" s="24">
        <v>0.32300000000000001</v>
      </c>
      <c r="E98" s="25">
        <f t="shared" si="2"/>
        <v>6.46</v>
      </c>
      <c r="F98" s="26">
        <f t="shared" si="3"/>
        <v>5.7142857142857144</v>
      </c>
      <c r="I98" s="31"/>
      <c r="J98" s="32"/>
      <c r="K98" s="32"/>
    </row>
    <row r="99" spans="2:11" ht="13.8" x14ac:dyDescent="0.25">
      <c r="B99" s="24">
        <v>14</v>
      </c>
      <c r="C99" s="24">
        <v>5</v>
      </c>
      <c r="D99" s="24">
        <v>0.42299999999999999</v>
      </c>
      <c r="E99" s="25">
        <f t="shared" si="2"/>
        <v>8.4599999999999991</v>
      </c>
      <c r="F99" s="26">
        <f t="shared" si="3"/>
        <v>7.1428571428571432</v>
      </c>
      <c r="I99" s="31"/>
      <c r="J99" s="32"/>
      <c r="K99" s="32"/>
    </row>
    <row r="100" spans="2:11" ht="13.8" x14ac:dyDescent="0.25">
      <c r="B100" s="24">
        <v>14</v>
      </c>
      <c r="C100" s="24">
        <v>6</v>
      </c>
      <c r="D100" s="24">
        <v>0.53400000000000003</v>
      </c>
      <c r="E100" s="25">
        <f t="shared" si="2"/>
        <v>10.68</v>
      </c>
      <c r="F100" s="26">
        <f t="shared" si="3"/>
        <v>8.5714285714285712</v>
      </c>
      <c r="I100" s="31"/>
      <c r="J100" s="32"/>
      <c r="K100" s="32"/>
    </row>
    <row r="101" spans="2:11" ht="13.8" x14ac:dyDescent="0.25">
      <c r="B101" s="24">
        <v>14</v>
      </c>
      <c r="C101" s="24">
        <v>7</v>
      </c>
      <c r="D101" s="24">
        <v>0.65900000000000003</v>
      </c>
      <c r="E101" s="25">
        <f t="shared" si="2"/>
        <v>13.18</v>
      </c>
      <c r="F101" s="26">
        <f t="shared" si="3"/>
        <v>10</v>
      </c>
      <c r="I101" s="31"/>
      <c r="J101" s="32"/>
      <c r="K101" s="32"/>
    </row>
    <row r="102" spans="2:11" ht="13.8" x14ac:dyDescent="0.25">
      <c r="B102" s="24">
        <v>14</v>
      </c>
      <c r="C102" s="24">
        <v>8</v>
      </c>
      <c r="D102" s="24">
        <v>0.80200000000000005</v>
      </c>
      <c r="E102" s="25">
        <f t="shared" si="2"/>
        <v>16.04</v>
      </c>
      <c r="F102" s="26">
        <f t="shared" si="3"/>
        <v>11.428571428571429</v>
      </c>
      <c r="I102" s="31"/>
      <c r="J102" s="32"/>
      <c r="K102" s="32"/>
    </row>
    <row r="103" spans="2:11" ht="13.8" x14ac:dyDescent="0.25">
      <c r="B103" s="24">
        <v>14</v>
      </c>
      <c r="C103" s="24">
        <v>9</v>
      </c>
      <c r="D103" s="24">
        <v>0.96799999999999997</v>
      </c>
      <c r="E103" s="25">
        <f t="shared" si="2"/>
        <v>19.36</v>
      </c>
      <c r="F103" s="26">
        <f t="shared" si="3"/>
        <v>12.857142857142858</v>
      </c>
      <c r="I103" s="31"/>
      <c r="J103" s="32"/>
      <c r="K103" s="32"/>
    </row>
    <row r="104" spans="2:11" ht="13.8" x14ac:dyDescent="0.25">
      <c r="B104" s="24">
        <v>14</v>
      </c>
      <c r="C104" s="24">
        <v>10</v>
      </c>
      <c r="D104" s="24">
        <v>1.1679999999999999</v>
      </c>
      <c r="E104" s="25">
        <f t="shared" si="2"/>
        <v>23.36</v>
      </c>
      <c r="F104" s="26">
        <f t="shared" si="3"/>
        <v>14.285714285714286</v>
      </c>
      <c r="I104" s="31"/>
      <c r="J104" s="32"/>
      <c r="K104" s="32"/>
    </row>
    <row r="105" spans="2:11" ht="13.8" x14ac:dyDescent="0.25">
      <c r="B105" s="24">
        <v>14</v>
      </c>
      <c r="C105" s="24">
        <v>11</v>
      </c>
      <c r="D105" s="24">
        <v>1.4179999999999999</v>
      </c>
      <c r="E105" s="25">
        <f t="shared" si="2"/>
        <v>28.36</v>
      </c>
      <c r="F105" s="26">
        <f t="shared" si="3"/>
        <v>15.714285714285714</v>
      </c>
      <c r="I105" s="31"/>
      <c r="J105" s="32"/>
      <c r="K105" s="32"/>
    </row>
    <row r="106" spans="2:11" ht="13.8" x14ac:dyDescent="0.25">
      <c r="B106" s="24">
        <v>14</v>
      </c>
      <c r="C106" s="24">
        <v>12</v>
      </c>
      <c r="D106" s="24">
        <v>1.752</v>
      </c>
      <c r="E106" s="25">
        <f t="shared" si="2"/>
        <v>35.04</v>
      </c>
      <c r="F106" s="26">
        <f t="shared" si="3"/>
        <v>17.142857142857142</v>
      </c>
      <c r="I106" s="31"/>
      <c r="J106" s="32"/>
      <c r="K106" s="32"/>
    </row>
    <row r="107" spans="2:11" ht="13.8" x14ac:dyDescent="0.25">
      <c r="B107" s="24">
        <v>14</v>
      </c>
      <c r="C107" s="24">
        <v>13</v>
      </c>
      <c r="D107" s="24">
        <v>2.2519999999999998</v>
      </c>
      <c r="E107" s="25">
        <f t="shared" si="2"/>
        <v>45.039999999999992</v>
      </c>
      <c r="F107" s="26">
        <f t="shared" si="3"/>
        <v>18.571428571428573</v>
      </c>
      <c r="I107" s="31"/>
      <c r="J107" s="32"/>
      <c r="K107" s="32"/>
    </row>
    <row r="108" spans="2:11" ht="13.8" x14ac:dyDescent="0.25">
      <c r="B108" s="24">
        <v>14</v>
      </c>
      <c r="C108" s="24">
        <v>14</v>
      </c>
      <c r="D108" s="24">
        <v>3.2519999999999998</v>
      </c>
      <c r="E108" s="25">
        <f t="shared" si="2"/>
        <v>65.039999999999992</v>
      </c>
      <c r="F108" s="26">
        <f t="shared" si="3"/>
        <v>20</v>
      </c>
      <c r="I108" s="31"/>
      <c r="J108" s="32"/>
      <c r="K108" s="32"/>
    </row>
    <row r="109" spans="2:11" ht="13.8" x14ac:dyDescent="0.25">
      <c r="B109" s="24">
        <v>15</v>
      </c>
      <c r="C109" s="24">
        <v>1</v>
      </c>
      <c r="D109" s="24">
        <v>6.7000000000000004E-2</v>
      </c>
      <c r="E109" s="25">
        <f t="shared" si="2"/>
        <v>1.34</v>
      </c>
      <c r="F109" s="26">
        <f t="shared" si="3"/>
        <v>1.3333333333333333</v>
      </c>
      <c r="I109" s="31"/>
      <c r="J109" s="32"/>
      <c r="K109" s="32"/>
    </row>
    <row r="110" spans="2:11" ht="13.8" x14ac:dyDescent="0.25">
      <c r="B110" s="24">
        <v>15</v>
      </c>
      <c r="C110" s="24">
        <v>2</v>
      </c>
      <c r="D110" s="24">
        <v>0.13800000000000001</v>
      </c>
      <c r="E110" s="25">
        <f t="shared" si="2"/>
        <v>2.7600000000000002</v>
      </c>
      <c r="F110" s="26">
        <f t="shared" si="3"/>
        <v>2.6666666666666665</v>
      </c>
      <c r="I110" s="31"/>
      <c r="J110" s="32"/>
      <c r="K110" s="32"/>
    </row>
    <row r="111" spans="2:11" ht="13.8" x14ac:dyDescent="0.25">
      <c r="B111" s="24">
        <v>15</v>
      </c>
      <c r="C111" s="24">
        <v>3</v>
      </c>
      <c r="D111" s="24">
        <v>0.215</v>
      </c>
      <c r="E111" s="25">
        <f t="shared" si="2"/>
        <v>4.3</v>
      </c>
      <c r="F111" s="26">
        <f t="shared" si="3"/>
        <v>4</v>
      </c>
      <c r="I111" s="31"/>
      <c r="J111" s="32"/>
      <c r="K111" s="32"/>
    </row>
    <row r="112" spans="2:11" ht="13.8" x14ac:dyDescent="0.25">
      <c r="B112" s="24">
        <v>15</v>
      </c>
      <c r="C112" s="24">
        <v>4</v>
      </c>
      <c r="D112" s="24">
        <v>0.29799999999999999</v>
      </c>
      <c r="E112" s="25">
        <f t="shared" si="2"/>
        <v>5.96</v>
      </c>
      <c r="F112" s="26">
        <f t="shared" si="3"/>
        <v>5.333333333333333</v>
      </c>
      <c r="I112" s="31"/>
      <c r="J112" s="32"/>
      <c r="K112" s="32"/>
    </row>
    <row r="113" spans="2:11" ht="13.8" x14ac:dyDescent="0.25">
      <c r="B113" s="24">
        <v>15</v>
      </c>
      <c r="C113" s="24">
        <v>5</v>
      </c>
      <c r="D113" s="24">
        <v>0.38900000000000001</v>
      </c>
      <c r="E113" s="25">
        <f t="shared" si="2"/>
        <v>7.78</v>
      </c>
      <c r="F113" s="26">
        <f t="shared" si="3"/>
        <v>6.666666666666667</v>
      </c>
      <c r="I113" s="31"/>
      <c r="J113" s="32"/>
      <c r="K113" s="32"/>
    </row>
    <row r="114" spans="2:11" ht="13.8" x14ac:dyDescent="0.25">
      <c r="B114" s="24">
        <v>15</v>
      </c>
      <c r="C114" s="24">
        <v>6</v>
      </c>
      <c r="D114" s="24">
        <v>0.48899999999999999</v>
      </c>
      <c r="E114" s="25">
        <f t="shared" si="2"/>
        <v>9.7799999999999994</v>
      </c>
      <c r="F114" s="26">
        <f t="shared" si="3"/>
        <v>8</v>
      </c>
      <c r="I114" s="31"/>
      <c r="J114" s="32"/>
      <c r="K114" s="32"/>
    </row>
    <row r="115" spans="2:11" ht="13.8" x14ac:dyDescent="0.25">
      <c r="B115" s="24">
        <v>15</v>
      </c>
      <c r="C115" s="24">
        <v>7</v>
      </c>
      <c r="D115" s="24">
        <v>0.6</v>
      </c>
      <c r="E115" s="25">
        <f t="shared" si="2"/>
        <v>12</v>
      </c>
      <c r="F115" s="26">
        <f t="shared" si="3"/>
        <v>9.3333333333333339</v>
      </c>
      <c r="I115" s="31"/>
      <c r="J115" s="32"/>
      <c r="K115" s="32"/>
    </row>
    <row r="116" spans="2:11" ht="13.8" x14ac:dyDescent="0.25">
      <c r="B116" s="24">
        <v>15</v>
      </c>
      <c r="C116" s="24">
        <v>8</v>
      </c>
      <c r="D116" s="24">
        <v>0.72499999999999998</v>
      </c>
      <c r="E116" s="25">
        <f t="shared" si="2"/>
        <v>14.5</v>
      </c>
      <c r="F116" s="26">
        <f t="shared" si="3"/>
        <v>10.666666666666666</v>
      </c>
      <c r="I116" s="31"/>
      <c r="J116" s="32"/>
      <c r="K116" s="32"/>
    </row>
    <row r="117" spans="2:11" ht="13.8" x14ac:dyDescent="0.25">
      <c r="B117" s="24">
        <v>15</v>
      </c>
      <c r="C117" s="24">
        <v>9</v>
      </c>
      <c r="D117" s="24">
        <v>0.86799999999999999</v>
      </c>
      <c r="E117" s="25">
        <f t="shared" si="2"/>
        <v>17.36</v>
      </c>
      <c r="F117" s="26">
        <f t="shared" si="3"/>
        <v>12</v>
      </c>
      <c r="I117" s="31"/>
      <c r="J117" s="32"/>
      <c r="K117" s="32"/>
    </row>
    <row r="118" spans="2:11" ht="13.8" x14ac:dyDescent="0.25">
      <c r="B118" s="24">
        <v>15</v>
      </c>
      <c r="C118" s="24">
        <v>10</v>
      </c>
      <c r="D118" s="24">
        <v>1.0349999999999999</v>
      </c>
      <c r="E118" s="25">
        <f t="shared" si="2"/>
        <v>20.7</v>
      </c>
      <c r="F118" s="26">
        <f t="shared" si="3"/>
        <v>13.333333333333334</v>
      </c>
      <c r="I118" s="31"/>
      <c r="J118" s="32"/>
      <c r="K118" s="32"/>
    </row>
    <row r="119" spans="2:11" ht="13.8" x14ac:dyDescent="0.25">
      <c r="B119" s="24">
        <v>15</v>
      </c>
      <c r="C119" s="24">
        <v>11</v>
      </c>
      <c r="D119" s="24">
        <v>1.2350000000000001</v>
      </c>
      <c r="E119" s="25">
        <f t="shared" si="2"/>
        <v>24.700000000000003</v>
      </c>
      <c r="F119" s="26">
        <f t="shared" si="3"/>
        <v>14.666666666666666</v>
      </c>
      <c r="I119" s="31"/>
      <c r="J119" s="32"/>
      <c r="K119" s="32"/>
    </row>
    <row r="120" spans="2:11" ht="13.8" x14ac:dyDescent="0.25">
      <c r="B120" s="24">
        <v>15</v>
      </c>
      <c r="C120" s="24">
        <v>12</v>
      </c>
      <c r="D120" s="24">
        <v>1.4850000000000001</v>
      </c>
      <c r="E120" s="25">
        <f t="shared" si="2"/>
        <v>29.700000000000003</v>
      </c>
      <c r="F120" s="26">
        <f t="shared" si="3"/>
        <v>16</v>
      </c>
      <c r="I120" s="31"/>
      <c r="J120" s="32"/>
      <c r="K120" s="32"/>
    </row>
    <row r="121" spans="2:11" ht="13.8" x14ac:dyDescent="0.25">
      <c r="B121" s="24">
        <v>15</v>
      </c>
      <c r="C121" s="24">
        <v>13</v>
      </c>
      <c r="D121" s="24">
        <v>1.8180000000000001</v>
      </c>
      <c r="E121" s="25">
        <f t="shared" si="2"/>
        <v>36.36</v>
      </c>
      <c r="F121" s="26">
        <f t="shared" si="3"/>
        <v>17.333333333333332</v>
      </c>
      <c r="I121" s="31"/>
      <c r="J121" s="32"/>
      <c r="K121" s="32"/>
    </row>
    <row r="122" spans="2:11" ht="13.8" x14ac:dyDescent="0.25">
      <c r="B122" s="24">
        <v>15</v>
      </c>
      <c r="C122" s="24">
        <v>14</v>
      </c>
      <c r="D122" s="24">
        <v>2.3180000000000001</v>
      </c>
      <c r="E122" s="25">
        <f t="shared" si="2"/>
        <v>46.36</v>
      </c>
      <c r="F122" s="26">
        <f t="shared" si="3"/>
        <v>18.666666666666668</v>
      </c>
      <c r="I122" s="31"/>
      <c r="J122" s="32"/>
      <c r="K122" s="32"/>
    </row>
    <row r="123" spans="2:11" ht="13.8" x14ac:dyDescent="0.25">
      <c r="B123" s="24">
        <v>15</v>
      </c>
      <c r="C123" s="24">
        <v>15</v>
      </c>
      <c r="D123" s="24">
        <v>3.3180000000000001</v>
      </c>
      <c r="E123" s="25">
        <f t="shared" si="2"/>
        <v>66.36</v>
      </c>
      <c r="F123" s="26">
        <f t="shared" si="3"/>
        <v>20</v>
      </c>
      <c r="I123" s="31"/>
      <c r="J123" s="32"/>
      <c r="K123" s="32"/>
    </row>
    <row r="124" spans="2:11" ht="13.8" x14ac:dyDescent="0.25">
      <c r="B124" s="24">
        <v>16</v>
      </c>
      <c r="C124" s="24">
        <v>1</v>
      </c>
      <c r="D124" s="24">
        <v>6.3E-2</v>
      </c>
      <c r="E124" s="25">
        <f t="shared" si="2"/>
        <v>1.26</v>
      </c>
      <c r="F124" s="26">
        <f t="shared" si="3"/>
        <v>1.25</v>
      </c>
      <c r="I124" s="31"/>
      <c r="J124" s="32"/>
      <c r="K124" s="32"/>
    </row>
    <row r="125" spans="2:11" ht="13.8" x14ac:dyDescent="0.25">
      <c r="B125" s="24">
        <v>16</v>
      </c>
      <c r="C125" s="24">
        <v>2</v>
      </c>
      <c r="D125" s="24">
        <v>0.129</v>
      </c>
      <c r="E125" s="25">
        <f t="shared" si="2"/>
        <v>2.58</v>
      </c>
      <c r="F125" s="26">
        <f t="shared" si="3"/>
        <v>2.5</v>
      </c>
      <c r="I125" s="31"/>
      <c r="J125" s="32"/>
      <c r="K125" s="32"/>
    </row>
    <row r="126" spans="2:11" ht="13.8" x14ac:dyDescent="0.25">
      <c r="B126" s="24">
        <v>16</v>
      </c>
      <c r="C126" s="24">
        <v>3</v>
      </c>
      <c r="D126" s="24">
        <v>0.20100000000000001</v>
      </c>
      <c r="E126" s="25">
        <f t="shared" si="2"/>
        <v>4.0200000000000005</v>
      </c>
      <c r="F126" s="26">
        <f t="shared" si="3"/>
        <v>3.75</v>
      </c>
      <c r="I126" s="31"/>
      <c r="J126" s="32"/>
      <c r="K126" s="32"/>
    </row>
    <row r="127" spans="2:11" ht="13.8" x14ac:dyDescent="0.25">
      <c r="B127" s="24">
        <v>16</v>
      </c>
      <c r="C127" s="24">
        <v>4</v>
      </c>
      <c r="D127" s="24">
        <v>0.27800000000000002</v>
      </c>
      <c r="E127" s="25">
        <f t="shared" si="2"/>
        <v>5.5600000000000005</v>
      </c>
      <c r="F127" s="26">
        <f t="shared" si="3"/>
        <v>5</v>
      </c>
      <c r="I127" s="31"/>
      <c r="J127" s="32"/>
      <c r="K127" s="32"/>
    </row>
    <row r="128" spans="2:11" ht="13.8" x14ac:dyDescent="0.25">
      <c r="B128" s="24">
        <v>16</v>
      </c>
      <c r="C128" s="24">
        <v>5</v>
      </c>
      <c r="D128" s="24">
        <v>0.36099999999999999</v>
      </c>
      <c r="E128" s="25">
        <f t="shared" si="2"/>
        <v>7.22</v>
      </c>
      <c r="F128" s="26">
        <f t="shared" si="3"/>
        <v>6.25</v>
      </c>
      <c r="I128" s="31"/>
      <c r="J128" s="32"/>
      <c r="K128" s="32"/>
    </row>
    <row r="129" spans="2:11" ht="13.8" x14ac:dyDescent="0.25">
      <c r="B129" s="24">
        <v>16</v>
      </c>
      <c r="C129" s="24">
        <v>6</v>
      </c>
      <c r="D129" s="24">
        <v>0.45200000000000001</v>
      </c>
      <c r="E129" s="25">
        <f t="shared" si="2"/>
        <v>9.0400000000000009</v>
      </c>
      <c r="F129" s="26">
        <f t="shared" si="3"/>
        <v>7.5</v>
      </c>
      <c r="I129" s="31"/>
      <c r="J129" s="32"/>
      <c r="K129" s="32"/>
    </row>
    <row r="130" spans="2:11" ht="13.8" x14ac:dyDescent="0.25">
      <c r="B130" s="24">
        <v>16</v>
      </c>
      <c r="C130" s="24">
        <v>7</v>
      </c>
      <c r="D130" s="24">
        <v>0.55200000000000005</v>
      </c>
      <c r="E130" s="25">
        <f t="shared" si="2"/>
        <v>11.040000000000001</v>
      </c>
      <c r="F130" s="26">
        <f t="shared" si="3"/>
        <v>8.75</v>
      </c>
      <c r="I130" s="31"/>
      <c r="J130" s="32"/>
      <c r="K130" s="32"/>
    </row>
    <row r="131" spans="2:11" ht="13.8" x14ac:dyDescent="0.25">
      <c r="B131" s="24">
        <v>16</v>
      </c>
      <c r="C131" s="24">
        <v>8</v>
      </c>
      <c r="D131" s="24">
        <v>0.66300000000000003</v>
      </c>
      <c r="E131" s="25">
        <f t="shared" si="2"/>
        <v>13.260000000000002</v>
      </c>
      <c r="F131" s="26">
        <f t="shared" si="3"/>
        <v>10</v>
      </c>
      <c r="I131" s="31"/>
      <c r="J131" s="32"/>
      <c r="K131" s="32"/>
    </row>
    <row r="132" spans="2:11" ht="13.8" x14ac:dyDescent="0.25">
      <c r="B132" s="24">
        <v>16</v>
      </c>
      <c r="C132" s="24">
        <v>9</v>
      </c>
      <c r="D132" s="24">
        <v>0.78800000000000003</v>
      </c>
      <c r="E132" s="25">
        <f t="shared" si="2"/>
        <v>15.760000000000002</v>
      </c>
      <c r="F132" s="26">
        <f t="shared" si="3"/>
        <v>11.25</v>
      </c>
      <c r="I132" s="31"/>
      <c r="J132" s="32"/>
      <c r="K132" s="32"/>
    </row>
    <row r="133" spans="2:11" ht="13.8" x14ac:dyDescent="0.25">
      <c r="B133" s="24">
        <v>16</v>
      </c>
      <c r="C133" s="24">
        <v>10</v>
      </c>
      <c r="D133" s="24">
        <v>0.93100000000000005</v>
      </c>
      <c r="E133" s="25">
        <f t="shared" ref="E133:E196" si="4">$C$2*D133</f>
        <v>18.62</v>
      </c>
      <c r="F133" s="26">
        <f t="shared" ref="F133:F196" si="5">C133*$C$2/B133</f>
        <v>12.5</v>
      </c>
      <c r="I133" s="31"/>
      <c r="J133" s="32"/>
      <c r="K133" s="32"/>
    </row>
    <row r="134" spans="2:11" ht="13.8" x14ac:dyDescent="0.25">
      <c r="B134" s="24">
        <v>16</v>
      </c>
      <c r="C134" s="24">
        <v>11</v>
      </c>
      <c r="D134" s="24">
        <v>1.097</v>
      </c>
      <c r="E134" s="25">
        <f t="shared" si="4"/>
        <v>21.939999999999998</v>
      </c>
      <c r="F134" s="26">
        <f t="shared" si="5"/>
        <v>13.75</v>
      </c>
      <c r="I134" s="31"/>
      <c r="J134" s="32"/>
      <c r="K134" s="32"/>
    </row>
    <row r="135" spans="2:11" ht="13.8" x14ac:dyDescent="0.25">
      <c r="B135" s="24">
        <v>16</v>
      </c>
      <c r="C135" s="24">
        <v>12</v>
      </c>
      <c r="D135" s="24">
        <v>1.2969999999999999</v>
      </c>
      <c r="E135" s="25">
        <f t="shared" si="4"/>
        <v>25.939999999999998</v>
      </c>
      <c r="F135" s="26">
        <f t="shared" si="5"/>
        <v>15</v>
      </c>
      <c r="I135" s="31"/>
      <c r="J135" s="32"/>
      <c r="K135" s="32"/>
    </row>
    <row r="136" spans="2:11" ht="13.8" x14ac:dyDescent="0.25">
      <c r="B136" s="24">
        <v>16</v>
      </c>
      <c r="C136" s="24">
        <v>13</v>
      </c>
      <c r="D136" s="24">
        <v>1.5469999999999999</v>
      </c>
      <c r="E136" s="25">
        <f t="shared" si="4"/>
        <v>30.939999999999998</v>
      </c>
      <c r="F136" s="26">
        <f t="shared" si="5"/>
        <v>16.25</v>
      </c>
      <c r="I136" s="31"/>
      <c r="J136" s="32"/>
      <c r="K136" s="32"/>
    </row>
    <row r="137" spans="2:11" ht="13.8" x14ac:dyDescent="0.25">
      <c r="B137" s="24">
        <v>16</v>
      </c>
      <c r="C137" s="24">
        <v>14</v>
      </c>
      <c r="D137" s="24">
        <v>1.881</v>
      </c>
      <c r="E137" s="25">
        <f t="shared" si="4"/>
        <v>37.619999999999997</v>
      </c>
      <c r="F137" s="26">
        <f t="shared" si="5"/>
        <v>17.5</v>
      </c>
      <c r="I137" s="31"/>
      <c r="J137" s="32"/>
      <c r="K137" s="32"/>
    </row>
    <row r="138" spans="2:11" ht="13.8" x14ac:dyDescent="0.25">
      <c r="B138" s="24">
        <v>16</v>
      </c>
      <c r="C138" s="24">
        <v>15</v>
      </c>
      <c r="D138" s="24">
        <v>2.3809999999999998</v>
      </c>
      <c r="E138" s="25">
        <f t="shared" si="4"/>
        <v>47.62</v>
      </c>
      <c r="F138" s="26">
        <f t="shared" si="5"/>
        <v>18.75</v>
      </c>
      <c r="I138" s="31"/>
      <c r="J138" s="32"/>
      <c r="K138" s="32"/>
    </row>
    <row r="139" spans="2:11" ht="13.8" x14ac:dyDescent="0.25">
      <c r="B139" s="24">
        <v>16</v>
      </c>
      <c r="C139" s="24">
        <v>16</v>
      </c>
      <c r="D139" s="24">
        <v>3.3809999999999998</v>
      </c>
      <c r="E139" s="25">
        <f t="shared" si="4"/>
        <v>67.61999999999999</v>
      </c>
      <c r="F139" s="26">
        <f t="shared" si="5"/>
        <v>20</v>
      </c>
      <c r="I139" s="31"/>
      <c r="J139" s="32"/>
      <c r="K139" s="32"/>
    </row>
    <row r="140" spans="2:11" ht="13.8" x14ac:dyDescent="0.25">
      <c r="B140" s="24">
        <v>17</v>
      </c>
      <c r="C140" s="24">
        <v>1</v>
      </c>
      <c r="D140" s="24">
        <v>5.8999999999999997E-2</v>
      </c>
      <c r="E140" s="25">
        <f t="shared" si="4"/>
        <v>1.18</v>
      </c>
      <c r="F140" s="26">
        <f t="shared" si="5"/>
        <v>1.1764705882352942</v>
      </c>
      <c r="I140" s="31"/>
      <c r="J140" s="32"/>
      <c r="K140" s="32"/>
    </row>
    <row r="141" spans="2:11" ht="13.8" x14ac:dyDescent="0.25">
      <c r="B141" s="24">
        <v>17</v>
      </c>
      <c r="C141" s="24">
        <v>2</v>
      </c>
      <c r="D141" s="24">
        <v>0.121</v>
      </c>
      <c r="E141" s="25">
        <f t="shared" si="4"/>
        <v>2.42</v>
      </c>
      <c r="F141" s="26">
        <f t="shared" si="5"/>
        <v>2.3529411764705883</v>
      </c>
      <c r="I141" s="31"/>
      <c r="J141" s="32"/>
      <c r="K141" s="32"/>
    </row>
    <row r="142" spans="2:11" ht="13.8" x14ac:dyDescent="0.25">
      <c r="B142" s="24">
        <v>17</v>
      </c>
      <c r="C142" s="24">
        <v>3</v>
      </c>
      <c r="D142" s="24">
        <v>0.188</v>
      </c>
      <c r="E142" s="25">
        <f t="shared" si="4"/>
        <v>3.76</v>
      </c>
      <c r="F142" s="26">
        <f t="shared" si="5"/>
        <v>3.5294117647058822</v>
      </c>
      <c r="I142" s="31"/>
      <c r="J142" s="32"/>
      <c r="K142" s="32"/>
    </row>
    <row r="143" spans="2:11" ht="13.8" x14ac:dyDescent="0.25">
      <c r="B143" s="24">
        <v>17</v>
      </c>
      <c r="C143" s="24">
        <v>4</v>
      </c>
      <c r="D143" s="24">
        <v>0.25900000000000001</v>
      </c>
      <c r="E143" s="25">
        <f t="shared" si="4"/>
        <v>5.18</v>
      </c>
      <c r="F143" s="26">
        <f t="shared" si="5"/>
        <v>4.7058823529411766</v>
      </c>
      <c r="I143" s="31"/>
      <c r="J143" s="32"/>
      <c r="K143" s="32"/>
    </row>
    <row r="144" spans="2:11" ht="13.8" x14ac:dyDescent="0.25">
      <c r="B144" s="24">
        <v>17</v>
      </c>
      <c r="C144" s="24">
        <v>5</v>
      </c>
      <c r="D144" s="24">
        <v>0.33600000000000002</v>
      </c>
      <c r="E144" s="25">
        <f t="shared" si="4"/>
        <v>6.7200000000000006</v>
      </c>
      <c r="F144" s="26">
        <f t="shared" si="5"/>
        <v>5.882352941176471</v>
      </c>
      <c r="I144" s="31"/>
      <c r="J144" s="32"/>
      <c r="K144" s="32"/>
    </row>
    <row r="145" spans="2:11" ht="13.8" x14ac:dyDescent="0.25">
      <c r="B145" s="24">
        <v>17</v>
      </c>
      <c r="C145" s="24">
        <v>6</v>
      </c>
      <c r="D145" s="24">
        <v>0.42</v>
      </c>
      <c r="E145" s="25">
        <f t="shared" si="4"/>
        <v>8.4</v>
      </c>
      <c r="F145" s="26">
        <f t="shared" si="5"/>
        <v>7.0588235294117645</v>
      </c>
      <c r="I145" s="31"/>
      <c r="J145" s="32"/>
      <c r="K145" s="32"/>
    </row>
    <row r="146" spans="2:11" ht="13.8" x14ac:dyDescent="0.25">
      <c r="B146" s="24">
        <v>17</v>
      </c>
      <c r="C146" s="24">
        <v>7</v>
      </c>
      <c r="D146" s="24">
        <v>0.51100000000000001</v>
      </c>
      <c r="E146" s="25">
        <f t="shared" si="4"/>
        <v>10.220000000000001</v>
      </c>
      <c r="F146" s="26">
        <f t="shared" si="5"/>
        <v>8.235294117647058</v>
      </c>
      <c r="I146" s="31"/>
      <c r="J146" s="32"/>
      <c r="K146" s="32"/>
    </row>
    <row r="147" spans="2:11" ht="13.8" x14ac:dyDescent="0.25">
      <c r="B147" s="24">
        <v>17</v>
      </c>
      <c r="C147" s="24">
        <v>8</v>
      </c>
      <c r="D147" s="24">
        <v>0.61099999999999999</v>
      </c>
      <c r="E147" s="25">
        <f t="shared" si="4"/>
        <v>12.219999999999999</v>
      </c>
      <c r="F147" s="26">
        <f t="shared" si="5"/>
        <v>9.4117647058823533</v>
      </c>
      <c r="I147" s="31"/>
      <c r="J147" s="32"/>
      <c r="K147" s="32"/>
    </row>
    <row r="148" spans="2:11" ht="13.8" x14ac:dyDescent="0.25">
      <c r="B148" s="24">
        <v>17</v>
      </c>
      <c r="C148" s="24">
        <v>9</v>
      </c>
      <c r="D148" s="24">
        <v>0.72199999999999998</v>
      </c>
      <c r="E148" s="25">
        <f t="shared" si="4"/>
        <v>14.44</v>
      </c>
      <c r="F148" s="26">
        <f t="shared" si="5"/>
        <v>10.588235294117647</v>
      </c>
      <c r="I148" s="31"/>
      <c r="J148" s="32"/>
      <c r="K148" s="32"/>
    </row>
    <row r="149" spans="2:11" ht="13.8" x14ac:dyDescent="0.25">
      <c r="B149" s="24">
        <v>17</v>
      </c>
      <c r="C149" s="24">
        <v>10</v>
      </c>
      <c r="D149" s="24">
        <v>0.84699999999999998</v>
      </c>
      <c r="E149" s="25">
        <f t="shared" si="4"/>
        <v>16.939999999999998</v>
      </c>
      <c r="F149" s="26">
        <f t="shared" si="5"/>
        <v>11.764705882352942</v>
      </c>
      <c r="I149" s="31"/>
      <c r="J149" s="32"/>
      <c r="K149" s="32"/>
    </row>
    <row r="150" spans="2:11" ht="13.8" x14ac:dyDescent="0.25">
      <c r="B150" s="24">
        <v>17</v>
      </c>
      <c r="C150" s="24">
        <v>11</v>
      </c>
      <c r="D150" s="24">
        <v>0.99</v>
      </c>
      <c r="E150" s="25">
        <f t="shared" si="4"/>
        <v>19.8</v>
      </c>
      <c r="F150" s="26">
        <f t="shared" si="5"/>
        <v>12.941176470588236</v>
      </c>
      <c r="I150" s="31"/>
      <c r="J150" s="32"/>
      <c r="K150" s="32"/>
    </row>
    <row r="151" spans="2:11" ht="13.8" x14ac:dyDescent="0.25">
      <c r="B151" s="24">
        <v>17</v>
      </c>
      <c r="C151" s="24">
        <v>12</v>
      </c>
      <c r="D151" s="24">
        <v>1.1559999999999999</v>
      </c>
      <c r="E151" s="25">
        <f t="shared" si="4"/>
        <v>23.119999999999997</v>
      </c>
      <c r="F151" s="26">
        <f t="shared" si="5"/>
        <v>14.117647058823529</v>
      </c>
      <c r="I151" s="31"/>
      <c r="J151" s="32"/>
      <c r="K151" s="32"/>
    </row>
    <row r="152" spans="2:11" ht="13.8" x14ac:dyDescent="0.25">
      <c r="B152" s="24">
        <v>17</v>
      </c>
      <c r="C152" s="24">
        <v>13</v>
      </c>
      <c r="D152" s="24">
        <v>1.3560000000000001</v>
      </c>
      <c r="E152" s="25">
        <f t="shared" si="4"/>
        <v>27.12</v>
      </c>
      <c r="F152" s="26">
        <f t="shared" si="5"/>
        <v>15.294117647058824</v>
      </c>
      <c r="I152" s="31"/>
      <c r="J152" s="32"/>
      <c r="K152" s="32"/>
    </row>
    <row r="153" spans="2:11" ht="13.8" x14ac:dyDescent="0.25">
      <c r="B153" s="24">
        <v>17</v>
      </c>
      <c r="C153" s="24">
        <v>14</v>
      </c>
      <c r="D153" s="24">
        <v>1.6060000000000001</v>
      </c>
      <c r="E153" s="25">
        <f t="shared" si="4"/>
        <v>32.120000000000005</v>
      </c>
      <c r="F153" s="26">
        <f t="shared" si="5"/>
        <v>16.470588235294116</v>
      </c>
      <c r="I153" s="31"/>
      <c r="J153" s="32"/>
      <c r="K153" s="32"/>
    </row>
    <row r="154" spans="2:11" ht="13.8" x14ac:dyDescent="0.25">
      <c r="B154" s="24">
        <v>17</v>
      </c>
      <c r="C154" s="24">
        <v>15</v>
      </c>
      <c r="D154" s="24">
        <v>1.94</v>
      </c>
      <c r="E154" s="25">
        <f t="shared" si="4"/>
        <v>38.799999999999997</v>
      </c>
      <c r="F154" s="26">
        <f t="shared" si="5"/>
        <v>17.647058823529413</v>
      </c>
      <c r="I154" s="31"/>
      <c r="J154" s="32"/>
      <c r="K154" s="32"/>
    </row>
    <row r="155" spans="2:11" ht="13.8" x14ac:dyDescent="0.25">
      <c r="B155" s="24">
        <v>17</v>
      </c>
      <c r="C155" s="24">
        <v>16</v>
      </c>
      <c r="D155" s="24">
        <v>2.44</v>
      </c>
      <c r="E155" s="25">
        <f t="shared" si="4"/>
        <v>48.8</v>
      </c>
      <c r="F155" s="26">
        <f t="shared" si="5"/>
        <v>18.823529411764707</v>
      </c>
      <c r="I155" s="31"/>
      <c r="J155" s="32"/>
      <c r="K155" s="32"/>
    </row>
    <row r="156" spans="2:11" ht="13.8" x14ac:dyDescent="0.25">
      <c r="B156" s="24">
        <v>17</v>
      </c>
      <c r="C156" s="24">
        <v>17</v>
      </c>
      <c r="D156" s="24">
        <v>3.44</v>
      </c>
      <c r="E156" s="25">
        <f t="shared" si="4"/>
        <v>68.8</v>
      </c>
      <c r="F156" s="26">
        <f t="shared" si="5"/>
        <v>20</v>
      </c>
      <c r="I156" s="31"/>
      <c r="J156" s="32"/>
      <c r="K156" s="32"/>
    </row>
    <row r="157" spans="2:11" ht="13.8" x14ac:dyDescent="0.25">
      <c r="B157" s="24">
        <v>18</v>
      </c>
      <c r="C157" s="24">
        <v>1</v>
      </c>
      <c r="D157" s="24">
        <v>5.6000000000000001E-2</v>
      </c>
      <c r="E157" s="25">
        <f t="shared" si="4"/>
        <v>1.1200000000000001</v>
      </c>
      <c r="F157" s="26">
        <f t="shared" si="5"/>
        <v>1.1111111111111112</v>
      </c>
      <c r="I157" s="31"/>
      <c r="J157" s="32"/>
      <c r="K157" s="32"/>
    </row>
    <row r="158" spans="2:11" ht="13.8" x14ac:dyDescent="0.25">
      <c r="B158" s="24">
        <v>18</v>
      </c>
      <c r="C158" s="24">
        <v>2</v>
      </c>
      <c r="D158" s="24">
        <v>0.114</v>
      </c>
      <c r="E158" s="25">
        <f t="shared" si="4"/>
        <v>2.2800000000000002</v>
      </c>
      <c r="F158" s="26">
        <f t="shared" si="5"/>
        <v>2.2222222222222223</v>
      </c>
      <c r="I158" s="31"/>
      <c r="J158" s="32"/>
      <c r="K158" s="32"/>
    </row>
    <row r="159" spans="2:11" ht="13.8" x14ac:dyDescent="0.25">
      <c r="B159" s="24">
        <v>18</v>
      </c>
      <c r="C159" s="24">
        <v>3</v>
      </c>
      <c r="D159" s="24">
        <v>0.17699999999999999</v>
      </c>
      <c r="E159" s="25">
        <f t="shared" si="4"/>
        <v>3.54</v>
      </c>
      <c r="F159" s="26">
        <f t="shared" si="5"/>
        <v>3.3333333333333335</v>
      </c>
      <c r="I159" s="31"/>
      <c r="J159" s="32"/>
      <c r="K159" s="32"/>
    </row>
    <row r="160" spans="2:11" ht="13.8" x14ac:dyDescent="0.25">
      <c r="B160" s="24">
        <v>18</v>
      </c>
      <c r="C160" s="24">
        <v>4</v>
      </c>
      <c r="D160" s="24">
        <v>0.24399999999999999</v>
      </c>
      <c r="E160" s="25">
        <f t="shared" si="4"/>
        <v>4.88</v>
      </c>
      <c r="F160" s="26">
        <f t="shared" si="5"/>
        <v>4.4444444444444446</v>
      </c>
      <c r="I160" s="31"/>
      <c r="J160" s="32"/>
      <c r="K160" s="32"/>
    </row>
    <row r="161" spans="2:11" ht="13.8" x14ac:dyDescent="0.25">
      <c r="B161" s="24">
        <v>18</v>
      </c>
      <c r="C161" s="24">
        <v>5</v>
      </c>
      <c r="D161" s="24">
        <v>0.315</v>
      </c>
      <c r="E161" s="25">
        <f t="shared" si="4"/>
        <v>6.3</v>
      </c>
      <c r="F161" s="26">
        <f t="shared" si="5"/>
        <v>5.5555555555555554</v>
      </c>
      <c r="I161" s="31"/>
      <c r="J161" s="32"/>
      <c r="K161" s="32"/>
    </row>
    <row r="162" spans="2:11" ht="13.8" x14ac:dyDescent="0.25">
      <c r="B162" s="24">
        <v>18</v>
      </c>
      <c r="C162" s="24">
        <v>6</v>
      </c>
      <c r="D162" s="24">
        <v>0.39200000000000002</v>
      </c>
      <c r="E162" s="25">
        <f t="shared" si="4"/>
        <v>7.84</v>
      </c>
      <c r="F162" s="26">
        <f t="shared" si="5"/>
        <v>6.666666666666667</v>
      </c>
      <c r="I162" s="31"/>
      <c r="J162" s="32"/>
      <c r="K162" s="32"/>
    </row>
    <row r="163" spans="2:11" ht="13.8" x14ac:dyDescent="0.25">
      <c r="B163" s="24">
        <v>18</v>
      </c>
      <c r="C163" s="24">
        <v>7</v>
      </c>
      <c r="D163" s="24">
        <v>0.47499999999999998</v>
      </c>
      <c r="E163" s="25">
        <f t="shared" si="4"/>
        <v>9.5</v>
      </c>
      <c r="F163" s="26">
        <f t="shared" si="5"/>
        <v>7.7777777777777777</v>
      </c>
      <c r="I163" s="31"/>
      <c r="J163" s="32"/>
      <c r="K163" s="32"/>
    </row>
    <row r="164" spans="2:11" ht="13.8" x14ac:dyDescent="0.25">
      <c r="B164" s="24">
        <v>18</v>
      </c>
      <c r="C164" s="24">
        <v>8</v>
      </c>
      <c r="D164" s="24">
        <v>0.56599999999999995</v>
      </c>
      <c r="E164" s="25">
        <f t="shared" si="4"/>
        <v>11.319999999999999</v>
      </c>
      <c r="F164" s="26">
        <f t="shared" si="5"/>
        <v>8.8888888888888893</v>
      </c>
      <c r="I164" s="31"/>
      <c r="J164" s="32"/>
      <c r="K164" s="32"/>
    </row>
    <row r="165" spans="2:11" ht="13.8" x14ac:dyDescent="0.25">
      <c r="B165" s="24">
        <v>18</v>
      </c>
      <c r="C165" s="24">
        <v>9</v>
      </c>
      <c r="D165" s="24">
        <v>0.66600000000000004</v>
      </c>
      <c r="E165" s="25">
        <f t="shared" si="4"/>
        <v>13.32</v>
      </c>
      <c r="F165" s="26">
        <f t="shared" si="5"/>
        <v>10</v>
      </c>
      <c r="I165" s="31"/>
      <c r="J165" s="32"/>
      <c r="K165" s="32"/>
    </row>
    <row r="166" spans="2:11" ht="13.8" x14ac:dyDescent="0.25">
      <c r="B166" s="24">
        <v>18</v>
      </c>
      <c r="C166" s="24">
        <v>10</v>
      </c>
      <c r="D166" s="24">
        <v>0.77700000000000002</v>
      </c>
      <c r="E166" s="25">
        <f t="shared" si="4"/>
        <v>15.540000000000001</v>
      </c>
      <c r="F166" s="26">
        <f t="shared" si="5"/>
        <v>11.111111111111111</v>
      </c>
      <c r="I166" s="31"/>
      <c r="J166" s="32"/>
      <c r="K166" s="32"/>
    </row>
    <row r="167" spans="2:11" ht="13.8" x14ac:dyDescent="0.25">
      <c r="B167" s="24">
        <v>18</v>
      </c>
      <c r="C167" s="24">
        <v>11</v>
      </c>
      <c r="D167" s="24">
        <v>0.90200000000000002</v>
      </c>
      <c r="E167" s="25">
        <f t="shared" si="4"/>
        <v>18.04</v>
      </c>
      <c r="F167" s="26">
        <f t="shared" si="5"/>
        <v>12.222222222222221</v>
      </c>
      <c r="I167" s="31"/>
      <c r="J167" s="32"/>
      <c r="K167" s="32"/>
    </row>
    <row r="168" spans="2:11" ht="13.8" x14ac:dyDescent="0.25">
      <c r="B168" s="24">
        <v>18</v>
      </c>
      <c r="C168" s="24">
        <v>12</v>
      </c>
      <c r="D168" s="24">
        <v>1.0449999999999999</v>
      </c>
      <c r="E168" s="25">
        <f t="shared" si="4"/>
        <v>20.9</v>
      </c>
      <c r="F168" s="26">
        <f t="shared" si="5"/>
        <v>13.333333333333334</v>
      </c>
      <c r="I168" s="31"/>
      <c r="J168" s="32"/>
      <c r="K168" s="32"/>
    </row>
    <row r="169" spans="2:11" ht="13.8" x14ac:dyDescent="0.25">
      <c r="B169" s="24">
        <v>18</v>
      </c>
      <c r="C169" s="24">
        <v>13</v>
      </c>
      <c r="D169" s="24">
        <v>1.212</v>
      </c>
      <c r="E169" s="25">
        <f t="shared" si="4"/>
        <v>24.24</v>
      </c>
      <c r="F169" s="26">
        <f t="shared" si="5"/>
        <v>14.444444444444445</v>
      </c>
      <c r="I169" s="31"/>
      <c r="J169" s="32"/>
      <c r="K169" s="32"/>
    </row>
    <row r="170" spans="2:11" ht="13.8" x14ac:dyDescent="0.25">
      <c r="B170" s="24">
        <v>18</v>
      </c>
      <c r="C170" s="24">
        <v>14</v>
      </c>
      <c r="D170" s="24">
        <v>1.4119999999999999</v>
      </c>
      <c r="E170" s="25">
        <f t="shared" si="4"/>
        <v>28.24</v>
      </c>
      <c r="F170" s="26">
        <f t="shared" si="5"/>
        <v>15.555555555555555</v>
      </c>
      <c r="I170" s="31"/>
      <c r="J170" s="32"/>
      <c r="K170" s="32"/>
    </row>
    <row r="171" spans="2:11" ht="13.8" x14ac:dyDescent="0.25">
      <c r="B171" s="24">
        <v>18</v>
      </c>
      <c r="C171" s="24">
        <v>15</v>
      </c>
      <c r="D171" s="24">
        <v>1.6619999999999999</v>
      </c>
      <c r="E171" s="25">
        <f t="shared" si="4"/>
        <v>33.239999999999995</v>
      </c>
      <c r="F171" s="26">
        <f t="shared" si="5"/>
        <v>16.666666666666668</v>
      </c>
      <c r="I171" s="31"/>
      <c r="J171" s="32"/>
      <c r="K171" s="32"/>
    </row>
    <row r="172" spans="2:11" ht="13.8" x14ac:dyDescent="0.25">
      <c r="B172" s="24">
        <v>18</v>
      </c>
      <c r="C172" s="24">
        <v>16</v>
      </c>
      <c r="D172" s="24">
        <v>1.9950000000000001</v>
      </c>
      <c r="E172" s="25">
        <f t="shared" si="4"/>
        <v>39.900000000000006</v>
      </c>
      <c r="F172" s="26">
        <f t="shared" si="5"/>
        <v>17.777777777777779</v>
      </c>
      <c r="I172" s="31"/>
      <c r="J172" s="32"/>
      <c r="K172" s="32"/>
    </row>
    <row r="173" spans="2:11" ht="13.8" x14ac:dyDescent="0.25">
      <c r="B173" s="24">
        <v>18</v>
      </c>
      <c r="C173" s="24">
        <v>17</v>
      </c>
      <c r="D173" s="24">
        <v>2.4950000000000001</v>
      </c>
      <c r="E173" s="25">
        <f t="shared" si="4"/>
        <v>49.900000000000006</v>
      </c>
      <c r="F173" s="26">
        <f t="shared" si="5"/>
        <v>18.888888888888889</v>
      </c>
      <c r="I173" s="31"/>
      <c r="J173" s="32"/>
      <c r="K173" s="32"/>
    </row>
    <row r="174" spans="2:11" ht="13.8" x14ac:dyDescent="0.25">
      <c r="B174" s="24">
        <v>18</v>
      </c>
      <c r="C174" s="24">
        <v>18</v>
      </c>
      <c r="D174" s="24">
        <v>3.4950000000000001</v>
      </c>
      <c r="E174" s="25">
        <f t="shared" si="4"/>
        <v>69.900000000000006</v>
      </c>
      <c r="F174" s="26">
        <f t="shared" si="5"/>
        <v>20</v>
      </c>
      <c r="I174" s="31"/>
      <c r="J174" s="32"/>
      <c r="K174" s="32"/>
    </row>
    <row r="175" spans="2:11" ht="13.8" x14ac:dyDescent="0.25">
      <c r="B175" s="24">
        <v>19</v>
      </c>
      <c r="C175" s="24">
        <v>1</v>
      </c>
      <c r="D175" s="24">
        <v>5.2999999999999999E-2</v>
      </c>
      <c r="E175" s="25">
        <f t="shared" si="4"/>
        <v>1.06</v>
      </c>
      <c r="F175" s="26">
        <f t="shared" si="5"/>
        <v>1.0526315789473684</v>
      </c>
      <c r="I175" s="31"/>
      <c r="J175" s="32"/>
      <c r="K175" s="32"/>
    </row>
    <row r="176" spans="2:11" ht="13.8" x14ac:dyDescent="0.25">
      <c r="B176" s="24">
        <v>19</v>
      </c>
      <c r="C176" s="24">
        <v>2</v>
      </c>
      <c r="D176" s="24">
        <v>0.108</v>
      </c>
      <c r="E176" s="25">
        <f t="shared" si="4"/>
        <v>2.16</v>
      </c>
      <c r="F176" s="26">
        <f t="shared" si="5"/>
        <v>2.1052631578947367</v>
      </c>
      <c r="I176" s="31"/>
      <c r="J176" s="32"/>
      <c r="K176" s="32"/>
    </row>
    <row r="177" spans="2:11" ht="13.8" x14ac:dyDescent="0.25">
      <c r="B177" s="24">
        <v>19</v>
      </c>
      <c r="C177" s="24">
        <v>3</v>
      </c>
      <c r="D177" s="24">
        <v>0.16700000000000001</v>
      </c>
      <c r="E177" s="25">
        <f t="shared" si="4"/>
        <v>3.3400000000000003</v>
      </c>
      <c r="F177" s="26">
        <f t="shared" si="5"/>
        <v>3.1578947368421053</v>
      </c>
      <c r="I177" s="31"/>
      <c r="J177" s="32"/>
      <c r="K177" s="32"/>
    </row>
    <row r="178" spans="2:11" ht="13.8" x14ac:dyDescent="0.25">
      <c r="B178" s="24">
        <v>19</v>
      </c>
      <c r="C178" s="24">
        <v>4</v>
      </c>
      <c r="D178" s="24">
        <v>0.23</v>
      </c>
      <c r="E178" s="25">
        <f t="shared" si="4"/>
        <v>4.6000000000000005</v>
      </c>
      <c r="F178" s="26">
        <f t="shared" si="5"/>
        <v>4.2105263157894735</v>
      </c>
      <c r="I178" s="31"/>
      <c r="J178" s="32"/>
      <c r="K178" s="32"/>
    </row>
    <row r="179" spans="2:11" ht="13.8" x14ac:dyDescent="0.25">
      <c r="B179" s="24">
        <v>19</v>
      </c>
      <c r="C179" s="24">
        <v>5</v>
      </c>
      <c r="D179" s="24">
        <v>0.29599999999999999</v>
      </c>
      <c r="E179" s="25">
        <f t="shared" si="4"/>
        <v>5.92</v>
      </c>
      <c r="F179" s="26">
        <f t="shared" si="5"/>
        <v>5.2631578947368425</v>
      </c>
      <c r="I179" s="31"/>
      <c r="J179" s="32"/>
      <c r="K179" s="32"/>
    </row>
    <row r="180" spans="2:11" ht="13.8" x14ac:dyDescent="0.25">
      <c r="B180" s="24">
        <v>19</v>
      </c>
      <c r="C180" s="24">
        <v>6</v>
      </c>
      <c r="D180" s="24">
        <v>0.36799999999999999</v>
      </c>
      <c r="E180" s="25">
        <f t="shared" si="4"/>
        <v>7.3599999999999994</v>
      </c>
      <c r="F180" s="26">
        <f t="shared" si="5"/>
        <v>6.3157894736842106</v>
      </c>
      <c r="I180" s="31"/>
      <c r="J180" s="32"/>
      <c r="K180" s="32"/>
    </row>
    <row r="181" spans="2:11" ht="13.8" x14ac:dyDescent="0.25">
      <c r="B181" s="24">
        <v>19</v>
      </c>
      <c r="C181" s="24">
        <v>7</v>
      </c>
      <c r="D181" s="24">
        <v>0.44500000000000001</v>
      </c>
      <c r="E181" s="25">
        <f t="shared" si="4"/>
        <v>8.9</v>
      </c>
      <c r="F181" s="26">
        <f t="shared" si="5"/>
        <v>7.3684210526315788</v>
      </c>
      <c r="I181" s="31"/>
      <c r="J181" s="32"/>
      <c r="K181" s="32"/>
    </row>
    <row r="182" spans="2:11" ht="13.8" x14ac:dyDescent="0.25">
      <c r="B182" s="24">
        <v>19</v>
      </c>
      <c r="C182" s="24">
        <v>8</v>
      </c>
      <c r="D182" s="24">
        <v>0.52800000000000002</v>
      </c>
      <c r="E182" s="25">
        <f t="shared" si="4"/>
        <v>10.56</v>
      </c>
      <c r="F182" s="26">
        <f t="shared" si="5"/>
        <v>8.4210526315789469</v>
      </c>
      <c r="I182" s="31"/>
      <c r="J182" s="32"/>
      <c r="K182" s="32"/>
    </row>
    <row r="183" spans="2:11" ht="13.8" x14ac:dyDescent="0.25">
      <c r="B183" s="24">
        <v>19</v>
      </c>
      <c r="C183" s="24">
        <v>9</v>
      </c>
      <c r="D183" s="24">
        <v>0.61899999999999999</v>
      </c>
      <c r="E183" s="25">
        <f t="shared" si="4"/>
        <v>12.379999999999999</v>
      </c>
      <c r="F183" s="26">
        <f t="shared" si="5"/>
        <v>9.473684210526315</v>
      </c>
      <c r="I183" s="31"/>
      <c r="J183" s="32"/>
      <c r="K183" s="32"/>
    </row>
    <row r="184" spans="2:11" ht="13.8" x14ac:dyDescent="0.25">
      <c r="B184" s="24">
        <v>19</v>
      </c>
      <c r="C184" s="24">
        <v>10</v>
      </c>
      <c r="D184" s="24">
        <v>0.71899999999999997</v>
      </c>
      <c r="E184" s="25">
        <f t="shared" si="4"/>
        <v>14.379999999999999</v>
      </c>
      <c r="F184" s="26">
        <f t="shared" si="5"/>
        <v>10.526315789473685</v>
      </c>
      <c r="I184" s="31"/>
      <c r="J184" s="32"/>
      <c r="K184" s="32"/>
    </row>
    <row r="185" spans="2:11" ht="13.8" x14ac:dyDescent="0.25">
      <c r="B185" s="24">
        <v>19</v>
      </c>
      <c r="C185" s="24">
        <v>11</v>
      </c>
      <c r="D185" s="24">
        <v>0.83</v>
      </c>
      <c r="E185" s="25">
        <f t="shared" si="4"/>
        <v>16.599999999999998</v>
      </c>
      <c r="F185" s="26">
        <f t="shared" si="5"/>
        <v>11.578947368421053</v>
      </c>
      <c r="I185" s="31"/>
      <c r="J185" s="32"/>
      <c r="K185" s="32"/>
    </row>
    <row r="186" spans="2:11" ht="13.8" x14ac:dyDescent="0.25">
      <c r="B186" s="24">
        <v>19</v>
      </c>
      <c r="C186" s="24">
        <v>12</v>
      </c>
      <c r="D186" s="24">
        <v>0.95499999999999996</v>
      </c>
      <c r="E186" s="25">
        <f t="shared" si="4"/>
        <v>19.099999999999998</v>
      </c>
      <c r="F186" s="26">
        <f t="shared" si="5"/>
        <v>12.631578947368421</v>
      </c>
      <c r="I186" s="31"/>
      <c r="J186" s="32"/>
      <c r="K186" s="32"/>
    </row>
    <row r="187" spans="2:11" ht="13.8" x14ac:dyDescent="0.25">
      <c r="B187" s="24">
        <v>19</v>
      </c>
      <c r="C187" s="24">
        <v>13</v>
      </c>
      <c r="D187" s="24">
        <v>1.0980000000000001</v>
      </c>
      <c r="E187" s="25">
        <f t="shared" si="4"/>
        <v>21.96</v>
      </c>
      <c r="F187" s="26">
        <f t="shared" si="5"/>
        <v>13.684210526315789</v>
      </c>
      <c r="I187" s="31"/>
      <c r="J187" s="32"/>
      <c r="K187" s="32"/>
    </row>
    <row r="188" spans="2:11" ht="13.8" x14ac:dyDescent="0.25">
      <c r="B188" s="24">
        <v>19</v>
      </c>
      <c r="C188" s="24">
        <v>14</v>
      </c>
      <c r="D188" s="24">
        <v>1.264</v>
      </c>
      <c r="E188" s="25">
        <f t="shared" si="4"/>
        <v>25.28</v>
      </c>
      <c r="F188" s="26">
        <f t="shared" si="5"/>
        <v>14.736842105263158</v>
      </c>
      <c r="I188" s="31"/>
      <c r="J188" s="32"/>
      <c r="K188" s="32"/>
    </row>
    <row r="189" spans="2:11" ht="13.8" x14ac:dyDescent="0.25">
      <c r="B189" s="24">
        <v>19</v>
      </c>
      <c r="C189" s="24">
        <v>15</v>
      </c>
      <c r="D189" s="24">
        <v>1.464</v>
      </c>
      <c r="E189" s="25">
        <f t="shared" si="4"/>
        <v>29.28</v>
      </c>
      <c r="F189" s="26">
        <f t="shared" si="5"/>
        <v>15.789473684210526</v>
      </c>
      <c r="I189" s="31"/>
      <c r="J189" s="32"/>
      <c r="K189" s="32"/>
    </row>
    <row r="190" spans="2:11" ht="13.8" x14ac:dyDescent="0.25">
      <c r="B190" s="24">
        <v>19</v>
      </c>
      <c r="C190" s="24">
        <v>16</v>
      </c>
      <c r="D190" s="24">
        <v>1.714</v>
      </c>
      <c r="E190" s="25">
        <f t="shared" si="4"/>
        <v>34.28</v>
      </c>
      <c r="F190" s="26">
        <f t="shared" si="5"/>
        <v>16.842105263157894</v>
      </c>
      <c r="I190" s="31"/>
      <c r="J190" s="32"/>
      <c r="K190" s="32"/>
    </row>
    <row r="191" spans="2:11" ht="13.8" x14ac:dyDescent="0.25">
      <c r="B191" s="24">
        <v>19</v>
      </c>
      <c r="C191" s="24">
        <v>17</v>
      </c>
      <c r="D191" s="24">
        <v>2.048</v>
      </c>
      <c r="E191" s="25">
        <f t="shared" si="4"/>
        <v>40.96</v>
      </c>
      <c r="F191" s="26">
        <f t="shared" si="5"/>
        <v>17.894736842105264</v>
      </c>
      <c r="I191" s="31"/>
      <c r="J191" s="32"/>
      <c r="K191" s="32"/>
    </row>
    <row r="192" spans="2:11" ht="13.8" x14ac:dyDescent="0.25">
      <c r="B192" s="24">
        <v>19</v>
      </c>
      <c r="C192" s="24">
        <v>18</v>
      </c>
      <c r="D192" s="24">
        <v>2.548</v>
      </c>
      <c r="E192" s="25">
        <f t="shared" si="4"/>
        <v>50.96</v>
      </c>
      <c r="F192" s="26">
        <f t="shared" si="5"/>
        <v>18.94736842105263</v>
      </c>
      <c r="I192" s="31"/>
      <c r="J192" s="32"/>
      <c r="K192" s="32"/>
    </row>
    <row r="193" spans="2:11" ht="13.8" x14ac:dyDescent="0.25">
      <c r="B193" s="24">
        <v>19</v>
      </c>
      <c r="C193" s="24">
        <v>19</v>
      </c>
      <c r="D193" s="24">
        <v>3.548</v>
      </c>
      <c r="E193" s="25">
        <f t="shared" si="4"/>
        <v>70.960000000000008</v>
      </c>
      <c r="F193" s="26">
        <f t="shared" si="5"/>
        <v>20</v>
      </c>
      <c r="I193" s="31"/>
      <c r="J193" s="32"/>
      <c r="K193" s="32"/>
    </row>
    <row r="194" spans="2:11" ht="13.8" x14ac:dyDescent="0.25">
      <c r="B194" s="24">
        <v>20</v>
      </c>
      <c r="C194" s="24">
        <v>1</v>
      </c>
      <c r="D194" s="24">
        <v>0.05</v>
      </c>
      <c r="E194" s="25">
        <f t="shared" si="4"/>
        <v>1</v>
      </c>
      <c r="F194" s="26">
        <f t="shared" si="5"/>
        <v>1</v>
      </c>
      <c r="I194" s="31"/>
      <c r="J194" s="32"/>
      <c r="K194" s="32"/>
    </row>
    <row r="195" spans="2:11" ht="13.8" x14ac:dyDescent="0.25">
      <c r="B195" s="24">
        <v>20</v>
      </c>
      <c r="C195" s="24">
        <v>2</v>
      </c>
      <c r="D195" s="24">
        <v>0.10299999999999999</v>
      </c>
      <c r="E195" s="25">
        <f t="shared" si="4"/>
        <v>2.06</v>
      </c>
      <c r="F195" s="26">
        <f t="shared" si="5"/>
        <v>2</v>
      </c>
      <c r="I195" s="31"/>
      <c r="J195" s="32"/>
      <c r="K195" s="32"/>
    </row>
    <row r="196" spans="2:11" ht="13.8" x14ac:dyDescent="0.25">
      <c r="B196" s="24">
        <v>20</v>
      </c>
      <c r="C196" s="24">
        <v>3</v>
      </c>
      <c r="D196" s="24">
        <v>0.158</v>
      </c>
      <c r="E196" s="25">
        <f t="shared" si="4"/>
        <v>3.16</v>
      </c>
      <c r="F196" s="26">
        <f t="shared" si="5"/>
        <v>3</v>
      </c>
      <c r="I196" s="31"/>
      <c r="J196" s="32"/>
      <c r="K196" s="32"/>
    </row>
    <row r="197" spans="2:11" ht="13.8" x14ac:dyDescent="0.25">
      <c r="B197" s="24">
        <v>20</v>
      </c>
      <c r="C197" s="24">
        <v>4</v>
      </c>
      <c r="D197" s="24">
        <v>0.217</v>
      </c>
      <c r="E197" s="25">
        <f t="shared" ref="E197:E213" si="6">$C$2*D197</f>
        <v>4.34</v>
      </c>
      <c r="F197" s="26">
        <f t="shared" ref="F197:F213" si="7">C197*$C$2/B197</f>
        <v>4</v>
      </c>
      <c r="I197" s="31"/>
      <c r="J197" s="32"/>
      <c r="K197" s="32"/>
    </row>
    <row r="198" spans="2:11" ht="13.8" x14ac:dyDescent="0.25">
      <c r="B198" s="24">
        <v>20</v>
      </c>
      <c r="C198" s="24">
        <v>5</v>
      </c>
      <c r="D198" s="24">
        <v>0.28000000000000003</v>
      </c>
      <c r="E198" s="25">
        <f t="shared" si="6"/>
        <v>5.6000000000000005</v>
      </c>
      <c r="F198" s="26">
        <f t="shared" si="7"/>
        <v>5</v>
      </c>
      <c r="I198" s="31"/>
      <c r="J198" s="32"/>
      <c r="K198" s="32"/>
    </row>
    <row r="199" spans="2:11" ht="13.8" x14ac:dyDescent="0.25">
      <c r="B199" s="24">
        <v>20</v>
      </c>
      <c r="C199" s="24">
        <v>6</v>
      </c>
      <c r="D199" s="24">
        <v>0.34599999999999997</v>
      </c>
      <c r="E199" s="25">
        <f t="shared" si="6"/>
        <v>6.92</v>
      </c>
      <c r="F199" s="26">
        <f t="shared" si="7"/>
        <v>6</v>
      </c>
      <c r="I199" s="31"/>
      <c r="J199" s="32"/>
      <c r="K199" s="32"/>
    </row>
    <row r="200" spans="2:11" ht="13.8" x14ac:dyDescent="0.25">
      <c r="B200" s="24">
        <v>20</v>
      </c>
      <c r="C200" s="24">
        <v>7</v>
      </c>
      <c r="D200" s="24">
        <v>0.41799999999999998</v>
      </c>
      <c r="E200" s="25">
        <f t="shared" si="6"/>
        <v>8.36</v>
      </c>
      <c r="F200" s="26">
        <f t="shared" si="7"/>
        <v>7</v>
      </c>
      <c r="I200" s="31"/>
      <c r="J200" s="32"/>
      <c r="K200" s="32"/>
    </row>
    <row r="201" spans="2:11" ht="13.8" x14ac:dyDescent="0.25">
      <c r="B201" s="24">
        <v>20</v>
      </c>
      <c r="C201" s="24">
        <v>8</v>
      </c>
      <c r="D201" s="24">
        <v>0.495</v>
      </c>
      <c r="E201" s="25">
        <f t="shared" si="6"/>
        <v>9.9</v>
      </c>
      <c r="F201" s="26">
        <f t="shared" si="7"/>
        <v>8</v>
      </c>
      <c r="I201" s="31"/>
      <c r="J201" s="32"/>
      <c r="K201" s="32"/>
    </row>
    <row r="202" spans="2:11" ht="13.8" x14ac:dyDescent="0.25">
      <c r="B202" s="24">
        <v>20</v>
      </c>
      <c r="C202" s="24">
        <v>9</v>
      </c>
      <c r="D202" s="24">
        <v>0.57799999999999996</v>
      </c>
      <c r="E202" s="25">
        <f t="shared" si="6"/>
        <v>11.559999999999999</v>
      </c>
      <c r="F202" s="26">
        <f t="shared" si="7"/>
        <v>9</v>
      </c>
      <c r="I202" s="31"/>
      <c r="J202" s="32"/>
      <c r="K202" s="32"/>
    </row>
    <row r="203" spans="2:11" ht="13.8" x14ac:dyDescent="0.25">
      <c r="B203" s="24">
        <v>20</v>
      </c>
      <c r="C203" s="24">
        <v>10</v>
      </c>
      <c r="D203" s="24">
        <v>0.66900000000000004</v>
      </c>
      <c r="E203" s="25">
        <f t="shared" si="6"/>
        <v>13.38</v>
      </c>
      <c r="F203" s="26">
        <f t="shared" si="7"/>
        <v>10</v>
      </c>
      <c r="I203" s="31"/>
      <c r="J203" s="32"/>
      <c r="K203" s="32"/>
    </row>
    <row r="204" spans="2:11" ht="13.8" x14ac:dyDescent="0.25">
      <c r="B204" s="24">
        <v>20</v>
      </c>
      <c r="C204" s="24">
        <v>11</v>
      </c>
      <c r="D204" s="24">
        <v>0.76900000000000002</v>
      </c>
      <c r="E204" s="25">
        <f t="shared" si="6"/>
        <v>15.38</v>
      </c>
      <c r="F204" s="26">
        <f t="shared" si="7"/>
        <v>11</v>
      </c>
      <c r="I204" s="31"/>
      <c r="J204" s="32"/>
      <c r="K204" s="32"/>
    </row>
    <row r="205" spans="2:11" ht="13.8" x14ac:dyDescent="0.25">
      <c r="B205" s="24">
        <v>20</v>
      </c>
      <c r="C205" s="24">
        <v>12</v>
      </c>
      <c r="D205" s="24">
        <v>0.88</v>
      </c>
      <c r="E205" s="25">
        <f t="shared" si="6"/>
        <v>17.600000000000001</v>
      </c>
      <c r="F205" s="26">
        <f t="shared" si="7"/>
        <v>12</v>
      </c>
      <c r="I205" s="31"/>
      <c r="J205" s="32"/>
      <c r="K205" s="32"/>
    </row>
    <row r="206" spans="2:11" ht="13.8" x14ac:dyDescent="0.25">
      <c r="B206" s="24">
        <v>20</v>
      </c>
      <c r="C206" s="24">
        <v>13</v>
      </c>
      <c r="D206" s="24">
        <v>1.0049999999999999</v>
      </c>
      <c r="E206" s="25">
        <f t="shared" si="6"/>
        <v>20.099999999999998</v>
      </c>
      <c r="F206" s="26">
        <f t="shared" si="7"/>
        <v>13</v>
      </c>
      <c r="I206" s="31"/>
      <c r="J206" s="32"/>
      <c r="K206" s="32"/>
    </row>
    <row r="207" spans="2:11" ht="13.8" x14ac:dyDescent="0.25">
      <c r="B207" s="24">
        <v>20</v>
      </c>
      <c r="C207" s="24">
        <v>14</v>
      </c>
      <c r="D207" s="24">
        <v>1.1479999999999999</v>
      </c>
      <c r="E207" s="25">
        <f t="shared" si="6"/>
        <v>22.959999999999997</v>
      </c>
      <c r="F207" s="26">
        <f t="shared" si="7"/>
        <v>14</v>
      </c>
      <c r="I207" s="31"/>
      <c r="J207" s="32"/>
      <c r="K207" s="32"/>
    </row>
    <row r="208" spans="2:11" ht="13.8" x14ac:dyDescent="0.25">
      <c r="B208" s="24">
        <v>20</v>
      </c>
      <c r="C208" s="24">
        <v>15</v>
      </c>
      <c r="D208" s="24">
        <v>1.3140000000000001</v>
      </c>
      <c r="E208" s="25">
        <f t="shared" si="6"/>
        <v>26.28</v>
      </c>
      <c r="F208" s="26">
        <f t="shared" si="7"/>
        <v>15</v>
      </c>
      <c r="I208" s="31"/>
      <c r="J208" s="32"/>
      <c r="K208" s="32"/>
    </row>
    <row r="209" spans="2:11" ht="13.8" x14ac:dyDescent="0.25">
      <c r="B209" s="24">
        <v>20</v>
      </c>
      <c r="C209" s="24">
        <v>16</v>
      </c>
      <c r="D209" s="24">
        <v>1.514</v>
      </c>
      <c r="E209" s="25">
        <f t="shared" si="6"/>
        <v>30.28</v>
      </c>
      <c r="F209" s="26">
        <f t="shared" si="7"/>
        <v>16</v>
      </c>
      <c r="I209" s="31"/>
      <c r="J209" s="32"/>
      <c r="K209" s="32"/>
    </row>
    <row r="210" spans="2:11" ht="13.8" x14ac:dyDescent="0.25">
      <c r="B210" s="24">
        <v>20</v>
      </c>
      <c r="C210" s="24">
        <v>17</v>
      </c>
      <c r="D210" s="24">
        <v>1.764</v>
      </c>
      <c r="E210" s="25">
        <f t="shared" si="6"/>
        <v>35.28</v>
      </c>
      <c r="F210" s="26">
        <f t="shared" si="7"/>
        <v>17</v>
      </c>
      <c r="I210" s="31"/>
      <c r="J210" s="32"/>
      <c r="K210" s="32"/>
    </row>
    <row r="211" spans="2:11" ht="13.8" x14ac:dyDescent="0.25">
      <c r="B211" s="24">
        <v>20</v>
      </c>
      <c r="C211" s="24">
        <v>18</v>
      </c>
      <c r="D211" s="24">
        <v>2.0979999999999999</v>
      </c>
      <c r="E211" s="25">
        <f t="shared" si="6"/>
        <v>41.959999999999994</v>
      </c>
      <c r="F211" s="26">
        <f t="shared" si="7"/>
        <v>18</v>
      </c>
      <c r="I211" s="31"/>
      <c r="J211" s="32"/>
      <c r="K211" s="32"/>
    </row>
    <row r="212" spans="2:11" ht="13.8" x14ac:dyDescent="0.25">
      <c r="B212" s="24">
        <v>20</v>
      </c>
      <c r="C212" s="24">
        <v>19</v>
      </c>
      <c r="D212" s="24">
        <v>2.5979999999999999</v>
      </c>
      <c r="E212" s="25">
        <f t="shared" si="6"/>
        <v>51.959999999999994</v>
      </c>
      <c r="F212" s="26">
        <f t="shared" si="7"/>
        <v>19</v>
      </c>
      <c r="I212" s="31"/>
      <c r="J212" s="32"/>
      <c r="K212" s="32"/>
    </row>
    <row r="213" spans="2:11" ht="14.4" thickBot="1" x14ac:dyDescent="0.3">
      <c r="B213" s="24">
        <v>20</v>
      </c>
      <c r="C213" s="24">
        <v>20</v>
      </c>
      <c r="D213" s="24">
        <v>3.5979999999999999</v>
      </c>
      <c r="E213" s="27">
        <f t="shared" si="6"/>
        <v>71.959999999999994</v>
      </c>
      <c r="F213" s="28">
        <f t="shared" si="7"/>
        <v>20</v>
      </c>
      <c r="I213" s="31"/>
      <c r="J213" s="32"/>
      <c r="K213" s="32"/>
    </row>
  </sheetData>
  <sheetProtection password="DC2F" sheet="1" formatCells="0"/>
  <protectedRanges>
    <protectedRange sqref="C2" name="Range1"/>
    <protectedRange sqref="H2" name="Range2"/>
    <protectedRange sqref="G4:J48 G59:J1053 J49:J58 G49:H58" name="Range3"/>
  </protectedRanges>
  <pageMargins left="0.7" right="0.7" top="0.75" bottom="0.75" header="0.3" footer="0.3"/>
  <pageSetup orientation="portrait" horizontalDpi="4294967293" verticalDpi="0" r:id="rId1"/>
  <drawing r:id="rId2"/>
  <legacyDrawing r:id="rId3"/>
  <oleObjects>
    <mc:AlternateContent xmlns:mc="http://schemas.openxmlformats.org/markup-compatibility/2006">
      <mc:Choice Requires="x14">
        <oleObject progId="Equation.DSMT4" shapeId="18433" r:id="rId4">
          <objectPr defaultSize="0" autoPict="0" r:id="rId5">
            <anchor moveWithCells="1" sizeWithCells="1">
              <from>
                <xdr:col>11</xdr:col>
                <xdr:colOff>45720</xdr:colOff>
                <xdr:row>1</xdr:row>
                <xdr:rowOff>106680</xdr:rowOff>
              </from>
              <to>
                <xdr:col>16</xdr:col>
                <xdr:colOff>274320</xdr:colOff>
                <xdr:row>3</xdr:row>
                <xdr:rowOff>22860</xdr:rowOff>
              </to>
            </anchor>
          </objectPr>
        </oleObject>
      </mc:Choice>
      <mc:Fallback>
        <oleObject progId="Equation.DSMT4" shapeId="1843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05"/>
  <sheetViews>
    <sheetView workbookViewId="0">
      <selection activeCell="A8" sqref="A8"/>
    </sheetView>
  </sheetViews>
  <sheetFormatPr defaultColWidth="9.109375" defaultRowHeight="13.2" x14ac:dyDescent="0.25"/>
  <cols>
    <col min="1" max="1" width="14.88671875" style="1" customWidth="1"/>
    <col min="2" max="2" width="9.5546875" style="1" customWidth="1"/>
    <col min="3" max="4" width="9.109375" style="1"/>
    <col min="5" max="5" width="9.6640625" style="1" customWidth="1"/>
    <col min="6" max="6" width="14" style="1" customWidth="1"/>
    <col min="7" max="7" width="9.109375" style="1"/>
    <col min="8" max="8" width="9.5546875" style="1" customWidth="1"/>
    <col min="9" max="16384" width="9.109375" style="1"/>
  </cols>
  <sheetData>
    <row r="1" spans="1:10" ht="15.6" thickBot="1" x14ac:dyDescent="0.3">
      <c r="A1" s="7"/>
      <c r="B1" s="8" t="s">
        <v>0</v>
      </c>
      <c r="C1" s="9"/>
      <c r="D1" s="9"/>
      <c r="E1" s="9"/>
      <c r="F1" s="5"/>
      <c r="G1" s="5"/>
      <c r="H1" s="6"/>
    </row>
    <row r="2" spans="1:10" ht="14.4" thickBot="1" x14ac:dyDescent="0.3">
      <c r="A2" s="71"/>
      <c r="B2" s="74" t="s">
        <v>2</v>
      </c>
      <c r="C2" s="75"/>
      <c r="D2" s="76" t="s">
        <v>4</v>
      </c>
      <c r="E2" s="77"/>
      <c r="F2" s="71" t="s">
        <v>10</v>
      </c>
      <c r="G2" s="78"/>
      <c r="H2" s="79"/>
    </row>
    <row r="3" spans="1:10" ht="14.4" thickBot="1" x14ac:dyDescent="0.3">
      <c r="A3" s="72" t="s">
        <v>3</v>
      </c>
      <c r="B3" s="36">
        <v>4000</v>
      </c>
      <c r="C3" s="83"/>
      <c r="D3" s="84" t="s">
        <v>15</v>
      </c>
      <c r="E3" s="36">
        <v>0.9</v>
      </c>
      <c r="F3" s="80" t="s">
        <v>14</v>
      </c>
      <c r="G3" s="81" t="s">
        <v>50</v>
      </c>
      <c r="H3" s="82" t="s">
        <v>51</v>
      </c>
      <c r="I3"/>
    </row>
    <row r="4" spans="1:10" ht="14.4" thickBot="1" x14ac:dyDescent="0.3">
      <c r="A4" s="73" t="s">
        <v>6</v>
      </c>
      <c r="B4" s="37">
        <v>0.6</v>
      </c>
      <c r="C4" s="83"/>
      <c r="D4" s="85" t="s">
        <v>16</v>
      </c>
      <c r="E4" s="37">
        <v>150</v>
      </c>
      <c r="F4" s="38">
        <v>25.018283740196026</v>
      </c>
      <c r="G4" s="10">
        <f>EXP(-((($E$4+F4)/B3)^B4))-E3*EXP(-((F4/B3)^B4))</f>
        <v>3.5167679879322122E-10</v>
      </c>
      <c r="H4" s="11">
        <f>G4^2</f>
        <v>1.236765708094478E-19</v>
      </c>
    </row>
    <row r="5" spans="1:10" ht="16.2" thickBot="1" x14ac:dyDescent="0.35">
      <c r="A5" s="88" t="s">
        <v>11</v>
      </c>
      <c r="B5" s="86" t="s">
        <v>8</v>
      </c>
      <c r="C5" s="86" t="s">
        <v>7</v>
      </c>
      <c r="D5" s="87" t="s">
        <v>9</v>
      </c>
      <c r="E5" s="13" t="s">
        <v>12</v>
      </c>
      <c r="F5" s="12">
        <f>EXP(-((F4/B3)^B4))</f>
        <v>0.95350345642368028</v>
      </c>
      <c r="G5" s="17" t="s">
        <v>13</v>
      </c>
      <c r="H5" s="15">
        <f>EXP(-(((E4+$F$4)/$B$3)^$B$4))/$F$5</f>
        <v>0.90000000036882599</v>
      </c>
      <c r="I5" s="16" t="str">
        <f>IF(H5&lt;E3,"Specification is not met","")</f>
        <v/>
      </c>
    </row>
    <row r="6" spans="1:10" ht="13.8" thickBot="1" x14ac:dyDescent="0.3">
      <c r="A6" s="14">
        <f>IF(INT(E4/25)&lt;1,1,INT(E4/25))</f>
        <v>6</v>
      </c>
      <c r="B6" s="2">
        <v>0</v>
      </c>
      <c r="C6" s="2">
        <f t="shared" ref="C6:C55" si="0">EXP(-(($B6/B$3)^B$4))</f>
        <v>1</v>
      </c>
      <c r="D6" s="2">
        <v>1</v>
      </c>
      <c r="E6" s="2"/>
      <c r="F6" s="2"/>
      <c r="G6" s="2"/>
      <c r="H6" s="2"/>
      <c r="I6" s="2"/>
      <c r="J6" s="2"/>
    </row>
    <row r="7" spans="1:10" x14ac:dyDescent="0.25">
      <c r="A7" s="2">
        <v>2</v>
      </c>
      <c r="B7" s="2">
        <f>B6+$A$6</f>
        <v>6</v>
      </c>
      <c r="C7" s="2">
        <f t="shared" si="0"/>
        <v>0.97998881947125593</v>
      </c>
      <c r="D7" s="2">
        <f t="shared" ref="D7:D38" si="1">EXP(-(((B7+$F$4)/$B$3)^$B$4))/$F$5</f>
        <v>0.99346667940097466</v>
      </c>
      <c r="E7" s="2"/>
      <c r="F7" s="2"/>
      <c r="G7" s="2"/>
      <c r="H7" s="2"/>
      <c r="I7" s="2"/>
      <c r="J7" s="2"/>
    </row>
    <row r="8" spans="1:10" x14ac:dyDescent="0.25">
      <c r="A8" s="2">
        <v>3</v>
      </c>
      <c r="B8" s="2">
        <f>B7+$A$6</f>
        <v>12</v>
      </c>
      <c r="C8" s="2">
        <f t="shared" si="0"/>
        <v>0.96982574240530572</v>
      </c>
      <c r="D8" s="2">
        <f t="shared" si="1"/>
        <v>0.98746137466263417</v>
      </c>
      <c r="E8" s="2"/>
      <c r="F8" s="2"/>
      <c r="G8" s="2"/>
      <c r="H8" s="2"/>
      <c r="I8" s="2"/>
      <c r="J8" s="2"/>
    </row>
    <row r="9" spans="1:10" x14ac:dyDescent="0.25">
      <c r="A9" s="2">
        <v>4</v>
      </c>
      <c r="B9" s="2">
        <f t="shared" ref="B9:B55" si="2">B8+$A$6</f>
        <v>18</v>
      </c>
      <c r="C9" s="2">
        <f t="shared" si="0"/>
        <v>0.96167611262387009</v>
      </c>
      <c r="D9" s="2">
        <f t="shared" si="1"/>
        <v>0.98186794005958089</v>
      </c>
      <c r="E9" s="2"/>
      <c r="F9" s="2"/>
      <c r="G9" s="2"/>
      <c r="H9" s="2"/>
      <c r="I9" s="2"/>
      <c r="J9" s="2"/>
    </row>
    <row r="10" spans="1:10" x14ac:dyDescent="0.25">
      <c r="A10" s="2">
        <v>5</v>
      </c>
      <c r="B10" s="2">
        <f t="shared" si="2"/>
        <v>24</v>
      </c>
      <c r="C10" s="2">
        <f t="shared" si="0"/>
        <v>0.95462198528331077</v>
      </c>
      <c r="D10" s="2">
        <f t="shared" si="1"/>
        <v>0.97660832277653986</v>
      </c>
      <c r="E10" s="2"/>
      <c r="F10" s="2"/>
      <c r="G10" s="2"/>
      <c r="H10" s="2"/>
      <c r="I10" s="2"/>
      <c r="J10" s="2"/>
    </row>
    <row r="11" spans="1:10" x14ac:dyDescent="0.25">
      <c r="A11" s="2">
        <v>6</v>
      </c>
      <c r="B11" s="2">
        <f t="shared" si="2"/>
        <v>30</v>
      </c>
      <c r="C11" s="2">
        <f t="shared" si="0"/>
        <v>0.94829187609351173</v>
      </c>
      <c r="D11" s="2">
        <f t="shared" si="1"/>
        <v>0.97162694431792795</v>
      </c>
      <c r="E11" s="2"/>
      <c r="F11" s="2"/>
      <c r="G11" s="2"/>
      <c r="H11" s="2"/>
      <c r="I11" s="2"/>
      <c r="J11" s="2"/>
    </row>
    <row r="12" spans="1:10" x14ac:dyDescent="0.25">
      <c r="A12" s="2">
        <v>7</v>
      </c>
      <c r="B12" s="2">
        <f t="shared" si="2"/>
        <v>36</v>
      </c>
      <c r="C12" s="2">
        <f t="shared" si="0"/>
        <v>0.94248948655118181</v>
      </c>
      <c r="D12" s="2">
        <f t="shared" si="1"/>
        <v>0.96688249193203024</v>
      </c>
      <c r="E12" s="2"/>
      <c r="F12" s="2"/>
      <c r="G12" s="2"/>
      <c r="H12" s="2"/>
      <c r="I12" s="2"/>
      <c r="J12" s="2"/>
    </row>
    <row r="13" spans="1:10" x14ac:dyDescent="0.25">
      <c r="A13" s="2">
        <v>8</v>
      </c>
      <c r="B13" s="2">
        <f t="shared" si="2"/>
        <v>42</v>
      </c>
      <c r="C13" s="2">
        <f t="shared" si="0"/>
        <v>0.93709547591383757</v>
      </c>
      <c r="D13" s="2">
        <f t="shared" si="1"/>
        <v>0.96234321976014459</v>
      </c>
      <c r="E13" s="2"/>
      <c r="F13" s="2"/>
      <c r="G13" s="2"/>
      <c r="H13" s="2"/>
      <c r="I13" s="2"/>
      <c r="J13" s="2"/>
    </row>
    <row r="14" spans="1:10" x14ac:dyDescent="0.25">
      <c r="A14" s="2">
        <v>9</v>
      </c>
      <c r="B14" s="2">
        <f t="shared" si="2"/>
        <v>48</v>
      </c>
      <c r="C14" s="2">
        <f t="shared" si="0"/>
        <v>0.93203059220709483</v>
      </c>
      <c r="D14" s="2">
        <f t="shared" si="1"/>
        <v>0.95798407896367088</v>
      </c>
      <c r="E14" s="2"/>
      <c r="F14" s="2"/>
      <c r="G14" s="2"/>
      <c r="H14" s="2"/>
      <c r="I14" s="2"/>
      <c r="J14" s="2"/>
    </row>
    <row r="15" spans="1:10" x14ac:dyDescent="0.25">
      <c r="A15" s="2">
        <v>10</v>
      </c>
      <c r="B15" s="2">
        <f t="shared" si="2"/>
        <v>54</v>
      </c>
      <c r="C15" s="2">
        <f t="shared" si="0"/>
        <v>0.92723888524952336</v>
      </c>
      <c r="D15" s="2">
        <f t="shared" si="1"/>
        <v>0.95378487319567118</v>
      </c>
      <c r="E15" s="2"/>
      <c r="F15" s="2"/>
      <c r="G15" s="2"/>
      <c r="H15" s="2"/>
      <c r="I15" s="2"/>
      <c r="J15" s="2"/>
    </row>
    <row r="16" spans="1:10" x14ac:dyDescent="0.25">
      <c r="A16" s="2">
        <v>11</v>
      </c>
      <c r="B16" s="2">
        <f t="shared" si="2"/>
        <v>60</v>
      </c>
      <c r="C16" s="2">
        <f t="shared" si="0"/>
        <v>0.92267903538475793</v>
      </c>
      <c r="D16" s="2">
        <f t="shared" si="1"/>
        <v>0.94972902314379637</v>
      </c>
      <c r="E16" s="2"/>
      <c r="F16" s="2"/>
      <c r="G16" s="2"/>
      <c r="H16" s="2"/>
      <c r="I16" s="2"/>
      <c r="J16" s="2"/>
    </row>
    <row r="17" spans="1:10" x14ac:dyDescent="0.25">
      <c r="A17" s="2">
        <v>12</v>
      </c>
      <c r="B17" s="2">
        <f t="shared" si="2"/>
        <v>66</v>
      </c>
      <c r="C17" s="2">
        <f t="shared" si="0"/>
        <v>0.91831945288876937</v>
      </c>
      <c r="D17" s="2">
        <f t="shared" si="1"/>
        <v>0.94580271031709895</v>
      </c>
      <c r="E17" s="2"/>
      <c r="F17" s="2"/>
      <c r="G17" s="2"/>
      <c r="H17" s="2"/>
      <c r="I17" s="2"/>
      <c r="J17" s="2"/>
    </row>
    <row r="18" spans="1:10" x14ac:dyDescent="0.25">
      <c r="A18" s="2">
        <v>13</v>
      </c>
      <c r="B18" s="2">
        <f t="shared" si="2"/>
        <v>72</v>
      </c>
      <c r="C18" s="2">
        <f t="shared" si="0"/>
        <v>0.91413531431950568</v>
      </c>
      <c r="D18" s="2">
        <f t="shared" si="1"/>
        <v>0.94199426639330519</v>
      </c>
      <c r="E18" s="2"/>
      <c r="F18" s="2"/>
      <c r="G18" s="2"/>
      <c r="H18" s="2"/>
      <c r="I18" s="2"/>
      <c r="J18" s="2"/>
    </row>
    <row r="19" spans="1:10" x14ac:dyDescent="0.25">
      <c r="A19" s="2">
        <v>14</v>
      </c>
      <c r="B19" s="2">
        <f t="shared" si="2"/>
        <v>78</v>
      </c>
      <c r="C19" s="2">
        <f t="shared" si="0"/>
        <v>0.91010667266929446</v>
      </c>
      <c r="D19" s="2">
        <f t="shared" si="1"/>
        <v>0.93829372690864044</v>
      </c>
      <c r="E19" s="2"/>
      <c r="F19" s="2"/>
      <c r="G19" s="2"/>
      <c r="H19" s="2"/>
      <c r="I19" s="2"/>
      <c r="J19" s="2"/>
    </row>
    <row r="20" spans="1:10" x14ac:dyDescent="0.25">
      <c r="A20" s="2">
        <v>15</v>
      </c>
      <c r="B20" s="2">
        <f t="shared" si="2"/>
        <v>84</v>
      </c>
      <c r="C20" s="2">
        <f t="shared" si="0"/>
        <v>0.90621719967940983</v>
      </c>
      <c r="D20" s="2">
        <f t="shared" si="1"/>
        <v>0.93469249809238386</v>
      </c>
      <c r="E20" s="2"/>
      <c r="F20" s="2"/>
      <c r="G20" s="2"/>
      <c r="H20" s="2"/>
      <c r="I20" s="2"/>
      <c r="J20" s="2"/>
    </row>
    <row r="21" spans="1:10" x14ac:dyDescent="0.25">
      <c r="A21" s="2">
        <v>16</v>
      </c>
      <c r="B21" s="2">
        <f t="shared" si="2"/>
        <v>90</v>
      </c>
      <c r="C21" s="2">
        <f t="shared" si="0"/>
        <v>0.90245331888698277</v>
      </c>
      <c r="D21" s="2">
        <f t="shared" si="1"/>
        <v>0.93118310353236344</v>
      </c>
      <c r="E21" s="2"/>
      <c r="F21" s="2"/>
      <c r="G21" s="2"/>
      <c r="H21" s="2"/>
      <c r="I21" s="2"/>
      <c r="J21" s="2"/>
    </row>
    <row r="22" spans="1:10" x14ac:dyDescent="0.25">
      <c r="A22" s="2">
        <v>17</v>
      </c>
      <c r="B22" s="2">
        <f t="shared" si="2"/>
        <v>96</v>
      </c>
      <c r="C22" s="2">
        <f t="shared" si="0"/>
        <v>0.89880359011555699</v>
      </c>
      <c r="D22" s="2">
        <f t="shared" si="1"/>
        <v>0.92775898838869031</v>
      </c>
      <c r="E22" s="2"/>
      <c r="F22" s="2"/>
      <c r="G22" s="2"/>
      <c r="H22" s="2"/>
      <c r="I22" s="2"/>
      <c r="J22" s="2"/>
    </row>
    <row r="23" spans="1:10" x14ac:dyDescent="0.25">
      <c r="A23" s="2">
        <v>18</v>
      </c>
      <c r="B23" s="2">
        <f t="shared" si="2"/>
        <v>102</v>
      </c>
      <c r="C23" s="2">
        <f t="shared" si="0"/>
        <v>0.89525826136553166</v>
      </c>
      <c r="D23" s="2">
        <f t="shared" si="1"/>
        <v>0.92441436588645987</v>
      </c>
      <c r="E23" s="2"/>
      <c r="F23" s="2"/>
      <c r="G23" s="2"/>
      <c r="H23" s="2"/>
      <c r="I23" s="2"/>
      <c r="J23" s="2"/>
    </row>
    <row r="24" spans="1:10" x14ac:dyDescent="0.25">
      <c r="A24" s="2">
        <v>19</v>
      </c>
      <c r="B24" s="2">
        <f t="shared" si="2"/>
        <v>108</v>
      </c>
      <c r="C24" s="2">
        <f t="shared" si="0"/>
        <v>0.89180893543505635</v>
      </c>
      <c r="D24" s="2">
        <f t="shared" si="1"/>
        <v>0.92114409539768061</v>
      </c>
      <c r="E24" s="2"/>
      <c r="F24" s="2"/>
      <c r="G24" s="2"/>
      <c r="H24" s="2"/>
      <c r="I24" s="2"/>
      <c r="J24" s="2"/>
    </row>
    <row r="25" spans="1:10" x14ac:dyDescent="0.25">
      <c r="A25" s="2">
        <v>20</v>
      </c>
      <c r="B25" s="2">
        <f t="shared" si="2"/>
        <v>114</v>
      </c>
      <c r="C25" s="2">
        <f t="shared" si="0"/>
        <v>0.88844831717318196</v>
      </c>
      <c r="D25" s="2">
        <f t="shared" si="1"/>
        <v>0.91794358448450908</v>
      </c>
      <c r="E25" s="2"/>
      <c r="F25" s="2"/>
      <c r="G25" s="2"/>
      <c r="H25" s="2"/>
      <c r="I25" s="2"/>
      <c r="J25" s="2"/>
    </row>
    <row r="26" spans="1:10" x14ac:dyDescent="0.25">
      <c r="A26" s="2">
        <v>21</v>
      </c>
      <c r="B26" s="2">
        <f t="shared" si="2"/>
        <v>120</v>
      </c>
      <c r="C26" s="2">
        <f t="shared" si="0"/>
        <v>0.88517001865852663</v>
      </c>
      <c r="D26" s="2">
        <f t="shared" si="1"/>
        <v>0.91480870936668823</v>
      </c>
      <c r="E26" s="2"/>
      <c r="F26" s="2"/>
      <c r="G26" s="2"/>
      <c r="H26" s="2"/>
      <c r="I26" s="2"/>
      <c r="J26" s="2"/>
    </row>
    <row r="27" spans="1:10" x14ac:dyDescent="0.25">
      <c r="A27" s="2">
        <v>22</v>
      </c>
      <c r="B27" s="2">
        <f t="shared" si="2"/>
        <v>126</v>
      </c>
      <c r="C27" s="2">
        <f t="shared" si="0"/>
        <v>0.88196840680410493</v>
      </c>
      <c r="D27" s="2">
        <f t="shared" si="1"/>
        <v>0.91173574973118121</v>
      </c>
      <c r="E27" s="2"/>
      <c r="F27" s="2"/>
      <c r="G27" s="2"/>
      <c r="H27" s="2"/>
      <c r="I27" s="2"/>
      <c r="J27" s="2"/>
    </row>
    <row r="28" spans="1:10" x14ac:dyDescent="0.25">
      <c r="A28" s="2">
        <v>23</v>
      </c>
      <c r="B28" s="2">
        <f t="shared" si="2"/>
        <v>132</v>
      </c>
      <c r="C28" s="2">
        <f t="shared" si="0"/>
        <v>0.87883848257497121</v>
      </c>
      <c r="D28" s="2">
        <f t="shared" si="1"/>
        <v>0.90872133483222339</v>
      </c>
      <c r="E28" s="2"/>
      <c r="F28" s="2"/>
      <c r="G28" s="2"/>
      <c r="H28" s="2"/>
      <c r="I28" s="2"/>
      <c r="J28" s="2"/>
    </row>
    <row r="29" spans="1:10" x14ac:dyDescent="0.25">
      <c r="A29" s="2">
        <v>24</v>
      </c>
      <c r="B29" s="2">
        <f t="shared" si="2"/>
        <v>138</v>
      </c>
      <c r="C29" s="2">
        <f t="shared" si="0"/>
        <v>0.87577578412637902</v>
      </c>
      <c r="D29" s="2">
        <f t="shared" si="1"/>
        <v>0.90576239857088026</v>
      </c>
      <c r="E29" s="2"/>
      <c r="F29" s="2"/>
      <c r="G29" s="2"/>
      <c r="H29" s="2"/>
      <c r="I29" s="2"/>
      <c r="J29" s="2"/>
    </row>
    <row r="30" spans="1:10" x14ac:dyDescent="0.25">
      <c r="A30" s="2">
        <v>25</v>
      </c>
      <c r="B30" s="2">
        <f t="shared" si="2"/>
        <v>144</v>
      </c>
      <c r="C30" s="2">
        <f t="shared" si="0"/>
        <v>0.87277630829412989</v>
      </c>
      <c r="D30" s="2">
        <f t="shared" si="1"/>
        <v>0.90285614178362383</v>
      </c>
      <c r="E30" s="2"/>
      <c r="F30" s="2"/>
      <c r="G30" s="2"/>
      <c r="H30" s="2"/>
      <c r="I30" s="2"/>
      <c r="J30" s="2"/>
    </row>
    <row r="31" spans="1:10" x14ac:dyDescent="0.25">
      <c r="A31" s="2">
        <v>26</v>
      </c>
      <c r="B31" s="2">
        <f t="shared" si="2"/>
        <v>150</v>
      </c>
      <c r="C31" s="2">
        <f t="shared" si="0"/>
        <v>0.86983644634240753</v>
      </c>
      <c r="D31" s="2">
        <f t="shared" si="1"/>
        <v>0.90000000036882599</v>
      </c>
      <c r="E31" s="2"/>
      <c r="F31" s="2"/>
      <c r="G31" s="2"/>
      <c r="H31" s="2"/>
      <c r="I31" s="2"/>
      <c r="J31" s="2"/>
    </row>
    <row r="32" spans="1:10" x14ac:dyDescent="0.25">
      <c r="A32" s="2">
        <v>27</v>
      </c>
      <c r="B32" s="2">
        <f t="shared" si="2"/>
        <v>156</v>
      </c>
      <c r="C32" s="2">
        <f t="shared" si="0"/>
        <v>0.86695293091481784</v>
      </c>
      <c r="D32" s="2">
        <f t="shared" si="1"/>
        <v>0.89719161817878845</v>
      </c>
      <c r="E32" s="2"/>
      <c r="F32" s="2"/>
      <c r="G32" s="2"/>
      <c r="H32" s="2"/>
      <c r="I32" s="2"/>
      <c r="J32" s="2"/>
    </row>
    <row r="33" spans="1:4" x14ac:dyDescent="0.25">
      <c r="A33" s="2">
        <v>28</v>
      </c>
      <c r="B33" s="2">
        <f t="shared" si="2"/>
        <v>162</v>
      </c>
      <c r="C33" s="2">
        <f t="shared" si="0"/>
        <v>0.86412279188065577</v>
      </c>
      <c r="D33" s="2">
        <f t="shared" si="1"/>
        <v>0.89442882383084787</v>
      </c>
    </row>
    <row r="34" spans="1:4" x14ac:dyDescent="0.25">
      <c r="A34" s="2">
        <v>29</v>
      </c>
      <c r="B34" s="2">
        <f t="shared" si="2"/>
        <v>168</v>
      </c>
      <c r="C34" s="2">
        <f t="shared" si="0"/>
        <v>0.86134331931153962</v>
      </c>
      <c r="D34" s="2">
        <f t="shared" si="1"/>
        <v>0.89170961076370536</v>
      </c>
    </row>
    <row r="35" spans="1:4" x14ac:dyDescent="0.25">
      <c r="A35" s="2">
        <v>30</v>
      </c>
      <c r="B35" s="2">
        <f t="shared" si="2"/>
        <v>174</v>
      </c>
      <c r="C35" s="2">
        <f t="shared" si="0"/>
        <v>0.85861203222407789</v>
      </c>
      <c r="D35" s="2">
        <f t="shared" si="1"/>
        <v>0.88903211999829912</v>
      </c>
    </row>
    <row r="36" spans="1:4" x14ac:dyDescent="0.25">
      <c r="A36" s="2">
        <v>31</v>
      </c>
      <c r="B36" s="2">
        <f t="shared" si="2"/>
        <v>180</v>
      </c>
      <c r="C36" s="2">
        <f t="shared" si="0"/>
        <v>0.85592665202321194</v>
      </c>
      <c r="D36" s="2">
        <f t="shared" si="1"/>
        <v>0.88639462516615808</v>
      </c>
    </row>
    <row r="37" spans="1:4" x14ac:dyDescent="0.25">
      <c r="A37" s="2">
        <v>32</v>
      </c>
      <c r="B37" s="2">
        <f t="shared" si="2"/>
        <v>186</v>
      </c>
      <c r="C37" s="2">
        <f t="shared" si="0"/>
        <v>0.85328507980658452</v>
      </c>
      <c r="D37" s="2">
        <f t="shared" si="1"/>
        <v>0.88379551944950452</v>
      </c>
    </row>
    <row r="38" spans="1:4" x14ac:dyDescent="0.25">
      <c r="A38" s="2">
        <v>33</v>
      </c>
      <c r="B38" s="2">
        <f t="shared" si="2"/>
        <v>192</v>
      </c>
      <c r="C38" s="2">
        <f t="shared" si="0"/>
        <v>0.85068537686244416</v>
      </c>
      <c r="D38" s="2">
        <f t="shared" si="1"/>
        <v>0.88123330414169032</v>
      </c>
    </row>
    <row r="39" spans="1:4" x14ac:dyDescent="0.25">
      <c r="A39" s="2">
        <v>34</v>
      </c>
      <c r="B39" s="2">
        <f t="shared" si="2"/>
        <v>198</v>
      </c>
      <c r="C39" s="2">
        <f t="shared" si="0"/>
        <v>0.8481257478261961</v>
      </c>
      <c r="D39" s="2">
        <f t="shared" ref="D39:D55" si="3">EXP(-(((B39+$F$4)/$B$3)^$B$4))/$F$5</f>
        <v>0.87870657858778012</v>
      </c>
    </row>
    <row r="40" spans="1:4" x14ac:dyDescent="0.25">
      <c r="A40" s="2">
        <v>35</v>
      </c>
      <c r="B40" s="2">
        <f t="shared" si="2"/>
        <v>204</v>
      </c>
      <c r="C40" s="2">
        <f t="shared" si="0"/>
        <v>0.84560452606375613</v>
      </c>
      <c r="D40" s="2">
        <f t="shared" si="3"/>
        <v>0.87621403130619047</v>
      </c>
    </row>
    <row r="41" spans="1:4" x14ac:dyDescent="0.25">
      <c r="A41" s="2">
        <v>36</v>
      </c>
      <c r="B41" s="2">
        <f t="shared" si="2"/>
        <v>210</v>
      </c>
      <c r="C41" s="2">
        <f t="shared" si="0"/>
        <v>0.8431201609306167</v>
      </c>
      <c r="D41" s="2">
        <f t="shared" si="3"/>
        <v>0.87375443212547044</v>
      </c>
    </row>
    <row r="42" spans="1:4" x14ac:dyDescent="0.25">
      <c r="A42" s="2">
        <v>37</v>
      </c>
      <c r="B42" s="2">
        <f t="shared" si="2"/>
        <v>216</v>
      </c>
      <c r="C42" s="2">
        <f t="shared" si="0"/>
        <v>0.84067120661931893</v>
      </c>
      <c r="D42" s="2">
        <f t="shared" si="3"/>
        <v>0.87132662519724136</v>
      </c>
    </row>
    <row r="43" spans="1:4" x14ac:dyDescent="0.25">
      <c r="A43" s="2">
        <v>38</v>
      </c>
      <c r="B43" s="2">
        <f t="shared" si="2"/>
        <v>222</v>
      </c>
      <c r="C43" s="2">
        <f t="shared" si="0"/>
        <v>0.83825631235877029</v>
      </c>
      <c r="D43" s="2">
        <f t="shared" si="3"/>
        <v>0.8689295227683298</v>
      </c>
    </row>
    <row r="44" spans="1:4" x14ac:dyDescent="0.25">
      <c r="A44" s="2">
        <v>39</v>
      </c>
      <c r="B44" s="2">
        <f t="shared" si="2"/>
        <v>228</v>
      </c>
      <c r="C44" s="2">
        <f t="shared" si="0"/>
        <v>0.83587421376950866</v>
      </c>
      <c r="D44" s="2">
        <f t="shared" si="3"/>
        <v>0.86656209961319153</v>
      </c>
    </row>
    <row r="45" spans="1:4" x14ac:dyDescent="0.25">
      <c r="A45" s="2">
        <v>40</v>
      </c>
      <c r="B45" s="2">
        <f t="shared" si="2"/>
        <v>234</v>
      </c>
      <c r="C45" s="2">
        <f t="shared" si="0"/>
        <v>0.83352372521179863</v>
      </c>
      <c r="D45" s="2">
        <f t="shared" si="3"/>
        <v>0.86422338804264942</v>
      </c>
    </row>
    <row r="46" spans="1:4" x14ac:dyDescent="0.25">
      <c r="A46" s="2">
        <v>41</v>
      </c>
      <c r="B46" s="2">
        <f t="shared" si="2"/>
        <v>240</v>
      </c>
      <c r="C46" s="2">
        <f t="shared" si="0"/>
        <v>0.83120373299004624</v>
      </c>
      <c r="D46" s="2">
        <f t="shared" si="3"/>
        <v>0.86191247341734167</v>
      </c>
    </row>
    <row r="47" spans="1:4" x14ac:dyDescent="0.25">
      <c r="A47" s="2">
        <v>42</v>
      </c>
      <c r="B47" s="2">
        <f t="shared" si="2"/>
        <v>246</v>
      </c>
      <c r="C47" s="2">
        <f t="shared" si="0"/>
        <v>0.82891318929872659</v>
      </c>
      <c r="D47" s="2">
        <f t="shared" si="3"/>
        <v>0.85962849010458708</v>
      </c>
    </row>
    <row r="48" spans="1:4" x14ac:dyDescent="0.25">
      <c r="A48" s="2">
        <v>43</v>
      </c>
      <c r="B48" s="2">
        <f t="shared" si="2"/>
        <v>252</v>
      </c>
      <c r="C48" s="2">
        <f t="shared" si="0"/>
        <v>0.82665110681283083</v>
      </c>
      <c r="D48" s="2">
        <f t="shared" si="3"/>
        <v>0.85737061782601198</v>
      </c>
    </row>
    <row r="49" spans="1:4" x14ac:dyDescent="0.25">
      <c r="A49" s="2">
        <v>44</v>
      </c>
      <c r="B49" s="2">
        <f t="shared" si="2"/>
        <v>258</v>
      </c>
      <c r="C49" s="2">
        <f t="shared" si="0"/>
        <v>0.82441655384052681</v>
      </c>
      <c r="D49" s="2">
        <f t="shared" si="3"/>
        <v>0.85513807835053801</v>
      </c>
    </row>
    <row r="50" spans="1:4" x14ac:dyDescent="0.25">
      <c r="A50" s="2">
        <v>45</v>
      </c>
      <c r="B50" s="2">
        <f t="shared" si="2"/>
        <v>264</v>
      </c>
      <c r="C50" s="2">
        <f t="shared" si="0"/>
        <v>0.82220864996790821</v>
      </c>
      <c r="D50" s="2">
        <f t="shared" si="3"/>
        <v>0.85293013249345251</v>
      </c>
    </row>
    <row r="51" spans="1:4" x14ac:dyDescent="0.25">
      <c r="A51" s="2">
        <v>46</v>
      </c>
      <c r="B51" s="2">
        <f t="shared" si="2"/>
        <v>270</v>
      </c>
      <c r="C51" s="2">
        <f t="shared" si="0"/>
        <v>0.82002656213584224</v>
      </c>
      <c r="D51" s="2">
        <f t="shared" si="3"/>
        <v>0.85074607738747243</v>
      </c>
    </row>
    <row r="52" spans="1:4" x14ac:dyDescent="0.25">
      <c r="A52" s="2">
        <v>47</v>
      </c>
      <c r="B52" s="2">
        <f t="shared" si="2"/>
        <v>276</v>
      </c>
      <c r="C52" s="2">
        <f t="shared" si="0"/>
        <v>0.81786950109741186</v>
      </c>
      <c r="D52" s="2">
        <f t="shared" si="3"/>
        <v>0.84858524399612734</v>
      </c>
    </row>
    <row r="53" spans="1:4" x14ac:dyDescent="0.25">
      <c r="A53" s="2">
        <v>48</v>
      </c>
      <c r="B53" s="2">
        <f t="shared" si="2"/>
        <v>282</v>
      </c>
      <c r="C53" s="2">
        <f t="shared" si="0"/>
        <v>0.81573671821156624</v>
      </c>
      <c r="D53" s="2">
        <f t="shared" si="3"/>
        <v>0.84644699484354602</v>
      </c>
    </row>
    <row r="54" spans="1:4" x14ac:dyDescent="0.25">
      <c r="A54" s="2">
        <v>49</v>
      </c>
      <c r="B54" s="2">
        <f t="shared" si="2"/>
        <v>288</v>
      </c>
      <c r="C54" s="2">
        <f t="shared" si="0"/>
        <v>0.81362750253460925</v>
      </c>
      <c r="D54" s="2">
        <f t="shared" si="3"/>
        <v>0.84433072193795833</v>
      </c>
    </row>
    <row r="55" spans="1:4" x14ac:dyDescent="0.25">
      <c r="A55" s="2">
        <v>50</v>
      </c>
      <c r="B55" s="2">
        <f t="shared" si="2"/>
        <v>294</v>
      </c>
      <c r="C55" s="2">
        <f t="shared" si="0"/>
        <v>0.81154117817623594</v>
      </c>
      <c r="D55" s="2">
        <f t="shared" si="3"/>
        <v>0.84223584486898839</v>
      </c>
    </row>
    <row r="56" spans="1:4" x14ac:dyDescent="0.25">
      <c r="A56" s="2">
        <v>51</v>
      </c>
      <c r="B56" s="2">
        <f t="shared" ref="B56:B105" si="4">B55+$A$6</f>
        <v>300</v>
      </c>
      <c r="C56" s="2">
        <f t="shared" ref="C56:C105" si="5">EXP(-(($B56/B$3)^B$4))</f>
        <v>0.80947710189115385</v>
      </c>
      <c r="D56" s="2">
        <f t="shared" ref="D56:D105" si="6">EXP(-(((B56+$F$4)/$B$3)^$B$4))/$F$5</f>
        <v>0.84016180906120297</v>
      </c>
    </row>
    <row r="57" spans="1:4" x14ac:dyDescent="0.25">
      <c r="A57" s="2">
        <v>52</v>
      </c>
      <c r="B57" s="2">
        <f t="shared" si="4"/>
        <v>306</v>
      </c>
      <c r="C57" s="2">
        <f t="shared" si="5"/>
        <v>0.8074346608810109</v>
      </c>
      <c r="D57" s="2">
        <f t="shared" si="6"/>
        <v>0.83810808416843652</v>
      </c>
    </row>
    <row r="58" spans="1:4" x14ac:dyDescent="0.25">
      <c r="A58" s="2">
        <v>53</v>
      </c>
      <c r="B58" s="2">
        <f t="shared" si="4"/>
        <v>312</v>
      </c>
      <c r="C58" s="2">
        <f t="shared" si="5"/>
        <v>0.8054132707845052</v>
      </c>
      <c r="D58" s="2">
        <f t="shared" si="6"/>
        <v>0.83607416259520184</v>
      </c>
    </row>
    <row r="59" spans="1:4" x14ac:dyDescent="0.25">
      <c r="A59" s="2">
        <v>54</v>
      </c>
      <c r="B59" s="2">
        <f t="shared" si="4"/>
        <v>318</v>
      </c>
      <c r="C59" s="2">
        <f t="shared" si="5"/>
        <v>0.80341237383626096</v>
      </c>
      <c r="D59" s="2">
        <f t="shared" si="6"/>
        <v>0.83405955813304622</v>
      </c>
    </row>
    <row r="60" spans="1:4" x14ac:dyDescent="0.25">
      <c r="A60" s="2">
        <v>55</v>
      </c>
      <c r="B60" s="2">
        <f t="shared" si="4"/>
        <v>324</v>
      </c>
      <c r="C60" s="2">
        <f t="shared" si="5"/>
        <v>0.80143143717738508</v>
      </c>
      <c r="D60" s="2">
        <f t="shared" si="6"/>
        <v>0.83206380470106256</v>
      </c>
    </row>
    <row r="61" spans="1:4" x14ac:dyDescent="0.25">
      <c r="A61" s="2">
        <v>56</v>
      </c>
      <c r="B61" s="2">
        <f t="shared" si="4"/>
        <v>330</v>
      </c>
      <c r="C61" s="2">
        <f t="shared" si="5"/>
        <v>0.79946995130263354</v>
      </c>
      <c r="D61" s="2">
        <f t="shared" si="6"/>
        <v>0.83008645518095026</v>
      </c>
    </row>
    <row r="62" spans="1:4" x14ac:dyDescent="0.25">
      <c r="A62" s="2">
        <v>57</v>
      </c>
      <c r="B62" s="2">
        <f t="shared" si="4"/>
        <v>336</v>
      </c>
      <c r="C62" s="2">
        <f t="shared" si="5"/>
        <v>0.79752742863085946</v>
      </c>
      <c r="D62" s="2">
        <f t="shared" si="6"/>
        <v>0.82812708033804838</v>
      </c>
    </row>
    <row r="63" spans="1:4" x14ac:dyDescent="0.25">
      <c r="A63" s="2">
        <v>58</v>
      </c>
      <c r="B63" s="2">
        <f t="shared" si="4"/>
        <v>342</v>
      </c>
      <c r="C63" s="2">
        <f t="shared" si="5"/>
        <v>0.79560340218693082</v>
      </c>
      <c r="D63" s="2">
        <f t="shared" si="6"/>
        <v>0.82618526782067436</v>
      </c>
    </row>
    <row r="64" spans="1:4" x14ac:dyDescent="0.25">
      <c r="A64" s="2">
        <v>59</v>
      </c>
      <c r="B64" s="2">
        <f t="shared" si="4"/>
        <v>348</v>
      </c>
      <c r="C64" s="2">
        <f t="shared" si="5"/>
        <v>0.79369742438462443</v>
      </c>
      <c r="D64" s="2">
        <f t="shared" si="6"/>
        <v>0.82426062123090027</v>
      </c>
    </row>
    <row r="65" spans="1:4" x14ac:dyDescent="0.25">
      <c r="A65" s="2">
        <v>60</v>
      </c>
      <c r="B65" s="2">
        <f t="shared" si="4"/>
        <v>354</v>
      </c>
      <c r="C65" s="2">
        <f t="shared" si="5"/>
        <v>0.79180906590115241</v>
      </c>
      <c r="D65" s="2">
        <f t="shared" si="6"/>
        <v>0.82235275926059848</v>
      </c>
    </row>
    <row r="66" spans="1:4" x14ac:dyDescent="0.25">
      <c r="A66" s="2">
        <v>61</v>
      </c>
      <c r="B66" s="2">
        <f t="shared" si="4"/>
        <v>360</v>
      </c>
      <c r="C66" s="2">
        <f t="shared" si="5"/>
        <v>0.78993791463498897</v>
      </c>
      <c r="D66" s="2">
        <f t="shared" si="6"/>
        <v>0.82046131488721075</v>
      </c>
    </row>
    <row r="67" spans="1:4" x14ac:dyDescent="0.25">
      <c r="A67" s="2">
        <v>62</v>
      </c>
      <c r="B67" s="2">
        <f t="shared" si="4"/>
        <v>366</v>
      </c>
      <c r="C67" s="2">
        <f t="shared" si="5"/>
        <v>0.78808357473954715</v>
      </c>
      <c r="D67" s="2">
        <f t="shared" si="6"/>
        <v>0.81858593462425044</v>
      </c>
    </row>
    <row r="68" spans="1:4" x14ac:dyDescent="0.25">
      <c r="A68" s="2">
        <v>63</v>
      </c>
      <c r="B68" s="2">
        <f t="shared" si="4"/>
        <v>372</v>
      </c>
      <c r="C68" s="2">
        <f t="shared" si="5"/>
        <v>0.78624566572603094</v>
      </c>
      <c r="D68" s="2">
        <f t="shared" si="6"/>
        <v>0.816726277822025</v>
      </c>
    </row>
    <row r="69" spans="1:4" x14ac:dyDescent="0.25">
      <c r="A69" s="2">
        <v>64</v>
      </c>
      <c r="B69" s="2">
        <f t="shared" si="4"/>
        <v>378</v>
      </c>
      <c r="C69" s="2">
        <f t="shared" si="5"/>
        <v>0.78442382162947777</v>
      </c>
      <c r="D69" s="2">
        <f t="shared" si="6"/>
        <v>0.8148820160145106</v>
      </c>
    </row>
    <row r="70" spans="1:4" x14ac:dyDescent="0.25">
      <c r="A70" s="2">
        <v>65</v>
      </c>
      <c r="B70" s="2">
        <f t="shared" si="4"/>
        <v>384</v>
      </c>
      <c r="C70" s="2">
        <f t="shared" si="5"/>
        <v>0.78261769023260663</v>
      </c>
      <c r="D70" s="2">
        <f t="shared" si="6"/>
        <v>0.81305283230868741</v>
      </c>
    </row>
    <row r="71" spans="1:4" x14ac:dyDescent="0.25">
      <c r="A71" s="2">
        <v>66</v>
      </c>
      <c r="B71" s="2">
        <f t="shared" si="4"/>
        <v>390</v>
      </c>
      <c r="C71" s="2">
        <f t="shared" si="5"/>
        <v>0.78082693234262679</v>
      </c>
      <c r="D71" s="2">
        <f t="shared" si="6"/>
        <v>0.81123842081299713</v>
      </c>
    </row>
    <row r="72" spans="1:4" x14ac:dyDescent="0.25">
      <c r="A72" s="2">
        <v>67</v>
      </c>
      <c r="B72" s="2">
        <f t="shared" si="4"/>
        <v>396</v>
      </c>
      <c r="C72" s="2">
        <f t="shared" si="5"/>
        <v>0.77905122111663194</v>
      </c>
      <c r="D72" s="2">
        <f t="shared" si="6"/>
        <v>0.80943848610188118</v>
      </c>
    </row>
    <row r="73" spans="1:4" x14ac:dyDescent="0.25">
      <c r="A73" s="2">
        <v>68</v>
      </c>
      <c r="B73" s="2">
        <f t="shared" si="4"/>
        <v>402</v>
      </c>
      <c r="C73" s="2">
        <f t="shared" si="5"/>
        <v>0.77729024143163172</v>
      </c>
      <c r="D73" s="2">
        <f t="shared" si="6"/>
        <v>0.80765274271364706</v>
      </c>
    </row>
    <row r="74" spans="1:4" x14ac:dyDescent="0.25">
      <c r="A74" s="2">
        <v>69</v>
      </c>
      <c r="B74" s="2">
        <f t="shared" si="4"/>
        <v>408</v>
      </c>
      <c r="C74" s="2">
        <f t="shared" si="5"/>
        <v>0.7755436892956431</v>
      </c>
      <c r="D74" s="2">
        <f t="shared" si="6"/>
        <v>0.80588091467914402</v>
      </c>
    </row>
    <row r="75" spans="1:4" x14ac:dyDescent="0.25">
      <c r="A75" s="2">
        <v>70</v>
      </c>
      <c r="B75" s="2">
        <f t="shared" si="4"/>
        <v>414</v>
      </c>
      <c r="C75" s="2">
        <f t="shared" si="5"/>
        <v>0.77381127129660254</v>
      </c>
      <c r="D75" s="2">
        <f t="shared" si="6"/>
        <v>0.80412273507895859</v>
      </c>
    </row>
    <row r="76" spans="1:4" x14ac:dyDescent="0.25">
      <c r="A76" s="2">
        <v>71</v>
      </c>
      <c r="B76" s="2">
        <f t="shared" si="4"/>
        <v>420</v>
      </c>
      <c r="C76" s="2">
        <f t="shared" si="5"/>
        <v>0.77209270408615605</v>
      </c>
      <c r="D76" s="2">
        <f t="shared" si="6"/>
        <v>0.80237794562704057</v>
      </c>
    </row>
    <row r="77" spans="1:4" x14ac:dyDescent="0.25">
      <c r="A77" s="2">
        <v>72</v>
      </c>
      <c r="B77" s="2">
        <f t="shared" si="4"/>
        <v>426</v>
      </c>
      <c r="C77" s="2">
        <f t="shared" si="5"/>
        <v>0.77038771389565386</v>
      </c>
      <c r="D77" s="2">
        <f t="shared" si="6"/>
        <v>0.8006462962788421</v>
      </c>
    </row>
    <row r="78" spans="1:4" x14ac:dyDescent="0.25">
      <c r="A78" s="2">
        <v>73</v>
      </c>
      <c r="B78" s="2">
        <f t="shared" si="4"/>
        <v>432</v>
      </c>
      <c r="C78" s="2">
        <f t="shared" si="5"/>
        <v>0.76869603608191484</v>
      </c>
      <c r="D78" s="2">
        <f t="shared" si="6"/>
        <v>0.79892754486222328</v>
      </c>
    </row>
    <row r="79" spans="1:4" x14ac:dyDescent="0.25">
      <c r="A79" s="2">
        <v>74</v>
      </c>
      <c r="B79" s="2">
        <f t="shared" si="4"/>
        <v>438</v>
      </c>
      <c r="C79" s="2">
        <f t="shared" si="5"/>
        <v>0.7670174147005423</v>
      </c>
      <c r="D79" s="2">
        <f t="shared" si="6"/>
        <v>0.79722145672952016</v>
      </c>
    </row>
    <row r="80" spans="1:4" x14ac:dyDescent="0.25">
      <c r="A80" s="2">
        <v>75</v>
      </c>
      <c r="B80" s="2">
        <f t="shared" si="4"/>
        <v>444</v>
      </c>
      <c r="C80" s="2">
        <f t="shared" si="5"/>
        <v>0.76535160210476427</v>
      </c>
      <c r="D80" s="2">
        <f t="shared" si="6"/>
        <v>0.79552780442929982</v>
      </c>
    </row>
    <row r="81" spans="1:4" x14ac:dyDescent="0.25">
      <c r="A81" s="2">
        <v>76</v>
      </c>
      <c r="B81" s="2">
        <f t="shared" si="4"/>
        <v>450</v>
      </c>
      <c r="C81" s="2">
        <f t="shared" si="5"/>
        <v>0.76369835856794865</v>
      </c>
      <c r="D81" s="2">
        <f t="shared" si="6"/>
        <v>0.79384636739645531</v>
      </c>
    </row>
    <row r="82" spans="1:4" x14ac:dyDescent="0.25">
      <c r="A82" s="2">
        <v>77</v>
      </c>
      <c r="B82" s="2">
        <f t="shared" si="4"/>
        <v>456</v>
      </c>
      <c r="C82" s="2">
        <f t="shared" si="5"/>
        <v>0.76205745192809793</v>
      </c>
      <c r="D82" s="2">
        <f t="shared" si="6"/>
        <v>0.79217693165939396</v>
      </c>
    </row>
    <row r="83" spans="1:4" x14ac:dyDescent="0.25">
      <c r="A83" s="2">
        <v>78</v>
      </c>
      <c r="B83" s="2">
        <f t="shared" si="4"/>
        <v>462</v>
      </c>
      <c r="C83" s="2">
        <f t="shared" si="5"/>
        <v>0.7604286572527712</v>
      </c>
      <c r="D83" s="2">
        <f t="shared" si="6"/>
        <v>0.7905192895631753</v>
      </c>
    </row>
    <row r="84" spans="1:4" x14ac:dyDescent="0.25">
      <c r="A84" s="2">
        <v>79</v>
      </c>
      <c r="B84" s="2">
        <f t="shared" si="4"/>
        <v>468</v>
      </c>
      <c r="C84" s="2">
        <f t="shared" si="5"/>
        <v>0.75881175652301103</v>
      </c>
      <c r="D84" s="2">
        <f t="shared" si="6"/>
        <v>0.78887323950754573</v>
      </c>
    </row>
    <row r="85" spans="1:4" x14ac:dyDescent="0.25">
      <c r="A85" s="2">
        <v>80</v>
      </c>
      <c r="B85" s="2">
        <f t="shared" si="4"/>
        <v>474</v>
      </c>
      <c r="C85" s="2">
        <f t="shared" si="5"/>
        <v>0.7572065383349651</v>
      </c>
      <c r="D85" s="2">
        <f t="shared" si="6"/>
        <v>0.78723858569889438</v>
      </c>
    </row>
    <row r="86" spans="1:4" x14ac:dyDescent="0.25">
      <c r="A86" s="2">
        <v>81</v>
      </c>
      <c r="B86" s="2">
        <f t="shared" si="4"/>
        <v>480</v>
      </c>
      <c r="C86" s="2">
        <f t="shared" si="5"/>
        <v>0.75561279761800304</v>
      </c>
      <c r="D86" s="2">
        <f t="shared" si="6"/>
        <v>0.7856151379152333</v>
      </c>
    </row>
    <row r="87" spans="1:4" x14ac:dyDescent="0.25">
      <c r="A87" s="2">
        <v>82</v>
      </c>
      <c r="B87" s="2">
        <f t="shared" si="4"/>
        <v>486</v>
      </c>
      <c r="C87" s="2">
        <f t="shared" si="5"/>
        <v>0.75403033536821973</v>
      </c>
      <c r="D87" s="2">
        <f t="shared" si="6"/>
        <v>0.78400271128337107</v>
      </c>
    </row>
    <row r="88" spans="1:4" x14ac:dyDescent="0.25">
      <c r="A88" s="2">
        <v>83</v>
      </c>
      <c r="B88" s="2">
        <f t="shared" si="4"/>
        <v>492</v>
      </c>
      <c r="C88" s="2">
        <f t="shared" si="5"/>
        <v>0.75245895839630705</v>
      </c>
      <c r="D88" s="2">
        <f t="shared" si="6"/>
        <v>0.78240112606751167</v>
      </c>
    </row>
    <row r="89" spans="1:4" x14ac:dyDescent="0.25">
      <c r="A89" s="2">
        <v>84</v>
      </c>
      <c r="B89" s="2">
        <f t="shared" si="4"/>
        <v>498</v>
      </c>
      <c r="C89" s="2">
        <f t="shared" si="5"/>
        <v>0.75089847908885199</v>
      </c>
      <c r="D89" s="2">
        <f t="shared" si="6"/>
        <v>0.78081020746856689</v>
      </c>
    </row>
    <row r="90" spans="1:4" x14ac:dyDescent="0.25">
      <c r="A90" s="2">
        <v>85</v>
      </c>
      <c r="B90" s="2">
        <f t="shared" si="4"/>
        <v>504</v>
      </c>
      <c r="C90" s="2">
        <f t="shared" si="5"/>
        <v>0.74934871518219504</v>
      </c>
      <c r="D90" s="2">
        <f t="shared" si="6"/>
        <v>0.77922978543352128</v>
      </c>
    </row>
    <row r="91" spans="1:4" x14ac:dyDescent="0.25">
      <c r="A91" s="2">
        <v>86</v>
      </c>
      <c r="B91" s="2">
        <f t="shared" si="4"/>
        <v>510</v>
      </c>
      <c r="C91" s="2">
        <f t="shared" si="5"/>
        <v>0.74780948954804416</v>
      </c>
      <c r="D91" s="2">
        <f t="shared" si="6"/>
        <v>0.77765969447424033</v>
      </c>
    </row>
    <row r="92" spans="1:4" x14ac:dyDescent="0.25">
      <c r="A92" s="2">
        <v>87</v>
      </c>
      <c r="B92" s="2">
        <f t="shared" si="4"/>
        <v>516</v>
      </c>
      <c r="C92" s="2">
        <f t="shared" si="5"/>
        <v>0.74628062999010325</v>
      </c>
      <c r="D92" s="2">
        <f t="shared" si="6"/>
        <v>0.77609977349515169</v>
      </c>
    </row>
    <row r="93" spans="1:4" x14ac:dyDescent="0.25">
      <c r="A93" s="2">
        <v>88</v>
      </c>
      <c r="B93" s="2">
        <f t="shared" si="4"/>
        <v>522</v>
      </c>
      <c r="C93" s="2">
        <f t="shared" si="5"/>
        <v>0.74476196905102765</v>
      </c>
      <c r="D93" s="2">
        <f t="shared" si="6"/>
        <v>0.77454986562927108</v>
      </c>
    </row>
    <row r="94" spans="1:4" x14ac:dyDescent="0.25">
      <c r="A94" s="2">
        <v>89</v>
      </c>
      <c r="B94" s="2">
        <f t="shared" si="4"/>
        <v>528</v>
      </c>
      <c r="C94" s="2">
        <f t="shared" si="5"/>
        <v>0.74325334382906916</v>
      </c>
      <c r="D94" s="2">
        <f t="shared" si="6"/>
        <v>0.77300981808208258</v>
      </c>
    </row>
    <row r="95" spans="1:4" x14ac:dyDescent="0.25">
      <c r="A95" s="2">
        <v>90</v>
      </c>
      <c r="B95" s="2">
        <f t="shared" si="4"/>
        <v>534</v>
      </c>
      <c r="C95" s="2">
        <f t="shared" si="5"/>
        <v>0.74175459580381997</v>
      </c>
      <c r="D95" s="2">
        <f t="shared" si="6"/>
        <v>0.77147948198281535</v>
      </c>
    </row>
    <row r="96" spans="1:4" x14ac:dyDescent="0.25">
      <c r="A96" s="2">
        <v>91</v>
      </c>
      <c r="B96" s="2">
        <f t="shared" si="4"/>
        <v>540</v>
      </c>
      <c r="C96" s="2">
        <f t="shared" si="5"/>
        <v>0.74026557067050625</v>
      </c>
      <c r="D96" s="2">
        <f t="shared" si="6"/>
        <v>0.76995871224269119</v>
      </c>
    </row>
    <row r="97" spans="1:4" x14ac:dyDescent="0.25">
      <c r="A97" s="2">
        <v>92</v>
      </c>
      <c r="B97" s="2">
        <f t="shared" si="4"/>
        <v>546</v>
      </c>
      <c r="C97" s="2">
        <f t="shared" si="5"/>
        <v>0.7387861181823222</v>
      </c>
      <c r="D97" s="2">
        <f t="shared" si="6"/>
        <v>0.76844736741974473</v>
      </c>
    </row>
    <row r="98" spans="1:4" x14ac:dyDescent="0.25">
      <c r="A98" s="2">
        <v>93</v>
      </c>
      <c r="B98" s="2">
        <f t="shared" si="4"/>
        <v>552</v>
      </c>
      <c r="C98" s="2">
        <f t="shared" si="5"/>
        <v>0.73731609200032999</v>
      </c>
      <c r="D98" s="2">
        <f t="shared" si="6"/>
        <v>0.76694530958984686</v>
      </c>
    </row>
    <row r="99" spans="1:4" x14ac:dyDescent="0.25">
      <c r="A99" s="2">
        <v>94</v>
      </c>
      <c r="B99" s="2">
        <f t="shared" si="4"/>
        <v>558</v>
      </c>
      <c r="C99" s="2">
        <f t="shared" si="5"/>
        <v>0.73585534955048404</v>
      </c>
      <c r="D99" s="2">
        <f t="shared" si="6"/>
        <v>0.76545240422358385</v>
      </c>
    </row>
    <row r="100" spans="1:4" x14ac:dyDescent="0.25">
      <c r="A100" s="2">
        <v>95</v>
      </c>
      <c r="B100" s="2">
        <f t="shared" si="4"/>
        <v>564</v>
      </c>
      <c r="C100" s="2">
        <f t="shared" si="5"/>
        <v>0.73440375188736906</v>
      </c>
      <c r="D100" s="2">
        <f t="shared" si="6"/>
        <v>0.76396852006866911</v>
      </c>
    </row>
    <row r="101" spans="1:4" x14ac:dyDescent="0.25">
      <c r="A101" s="2">
        <v>96</v>
      </c>
      <c r="B101" s="2">
        <f t="shared" si="4"/>
        <v>570</v>
      </c>
      <c r="C101" s="2">
        <f t="shared" si="5"/>
        <v>0.73296116356426733</v>
      </c>
      <c r="D101" s="2">
        <f t="shared" si="6"/>
        <v>0.76249352903758705</v>
      </c>
    </row>
    <row r="102" spans="1:4" x14ac:dyDescent="0.25">
      <c r="A102" s="2">
        <v>97</v>
      </c>
      <c r="B102" s="2">
        <f t="shared" si="4"/>
        <v>576</v>
      </c>
      <c r="C102" s="2">
        <f t="shared" si="5"/>
        <v>0.73152745250919937</v>
      </c>
      <c r="D102" s="2">
        <f t="shared" si="6"/>
        <v>0.76102730610018154</v>
      </c>
    </row>
    <row r="103" spans="1:4" x14ac:dyDescent="0.25">
      <c r="A103" s="2">
        <v>98</v>
      </c>
      <c r="B103" s="2">
        <f t="shared" si="4"/>
        <v>582</v>
      </c>
      <c r="C103" s="2">
        <f t="shared" si="5"/>
        <v>0.7301024899066022</v>
      </c>
      <c r="D103" s="2">
        <f t="shared" si="6"/>
        <v>0.7595697291809288</v>
      </c>
    </row>
    <row r="104" spans="1:4" x14ac:dyDescent="0.25">
      <c r="A104" s="2">
        <v>99</v>
      </c>
      <c r="B104" s="2">
        <f t="shared" si="4"/>
        <v>588</v>
      </c>
      <c r="C104" s="2">
        <f t="shared" si="5"/>
        <v>0.7286861500843349</v>
      </c>
      <c r="D104" s="2">
        <f t="shared" si="6"/>
        <v>0.7581206790606434</v>
      </c>
    </row>
    <row r="105" spans="1:4" x14ac:dyDescent="0.25">
      <c r="A105" s="2">
        <v>100</v>
      </c>
      <c r="B105" s="2">
        <f t="shared" si="4"/>
        <v>594</v>
      </c>
      <c r="C105" s="2">
        <f t="shared" si="5"/>
        <v>0.72727831040571822</v>
      </c>
      <c r="D105" s="2">
        <f t="shared" si="6"/>
        <v>0.75668003928238392</v>
      </c>
    </row>
  </sheetData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1046" r:id="rId4">
          <objectPr defaultSize="0" autoPict="0" r:id="rId5">
            <anchor moveWithCells="1" sizeWithCells="1">
              <from>
                <xdr:col>8</xdr:col>
                <xdr:colOff>342900</xdr:colOff>
                <xdr:row>0</xdr:row>
                <xdr:rowOff>160020</xdr:rowOff>
              </from>
              <to>
                <xdr:col>12</xdr:col>
                <xdr:colOff>350520</xdr:colOff>
                <xdr:row>4</xdr:row>
                <xdr:rowOff>15240</xdr:rowOff>
              </to>
            </anchor>
          </objectPr>
        </oleObject>
      </mc:Choice>
      <mc:Fallback>
        <oleObject progId="Equation.DSMT4" shapeId="1046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81"/>
  <sheetViews>
    <sheetView tabSelected="1" workbookViewId="0">
      <selection activeCell="K7" sqref="K7"/>
    </sheetView>
  </sheetViews>
  <sheetFormatPr defaultRowHeight="13.2" x14ac:dyDescent="0.25"/>
  <cols>
    <col min="1" max="1" width="11" customWidth="1"/>
    <col min="2" max="2" width="13.6640625" customWidth="1"/>
    <col min="3" max="3" width="9.44140625" customWidth="1"/>
    <col min="4" max="4" width="10.88671875" customWidth="1"/>
    <col min="5" max="5" width="9.88671875" customWidth="1"/>
  </cols>
  <sheetData>
    <row r="1" spans="1:8" ht="15.6" thickBot="1" x14ac:dyDescent="0.3">
      <c r="A1" s="3"/>
      <c r="B1" s="4" t="s">
        <v>1</v>
      </c>
      <c r="C1" s="5"/>
      <c r="D1" s="5"/>
      <c r="E1" s="5"/>
      <c r="F1" s="5"/>
      <c r="G1" s="5"/>
      <c r="H1" s="6"/>
    </row>
    <row r="2" spans="1:8" ht="14.4" thickBot="1" x14ac:dyDescent="0.3">
      <c r="A2" s="71"/>
      <c r="B2" s="74" t="s">
        <v>2</v>
      </c>
      <c r="C2" s="89"/>
      <c r="D2" s="89"/>
      <c r="E2" s="89"/>
      <c r="F2" s="90" t="s">
        <v>17</v>
      </c>
      <c r="G2" s="40">
        <v>80</v>
      </c>
      <c r="H2" s="39" t="s">
        <v>22</v>
      </c>
    </row>
    <row r="3" spans="1:8" ht="13.8" x14ac:dyDescent="0.25">
      <c r="A3" s="72" t="s">
        <v>3</v>
      </c>
      <c r="B3" s="36">
        <v>3100</v>
      </c>
      <c r="C3" s="89"/>
      <c r="D3" s="89"/>
      <c r="E3" s="89"/>
      <c r="F3" s="90" t="s">
        <v>18</v>
      </c>
      <c r="G3" s="41">
        <v>450</v>
      </c>
      <c r="H3" s="91"/>
    </row>
    <row r="4" spans="1:8" ht="14.4" thickBot="1" x14ac:dyDescent="0.3">
      <c r="A4" s="73" t="s">
        <v>6</v>
      </c>
      <c r="B4" s="37">
        <v>0.45</v>
      </c>
      <c r="C4" s="89"/>
      <c r="D4" s="89"/>
      <c r="E4" s="89"/>
      <c r="F4" s="90" t="s">
        <v>19</v>
      </c>
      <c r="G4" s="41">
        <v>7540</v>
      </c>
      <c r="H4" s="58"/>
    </row>
    <row r="5" spans="1:8" ht="13.8" thickBot="1" x14ac:dyDescent="0.3">
      <c r="A5" s="89"/>
      <c r="B5" s="89"/>
      <c r="C5" s="89"/>
      <c r="D5" s="89"/>
      <c r="E5" s="89"/>
      <c r="F5" s="90" t="s">
        <v>20</v>
      </c>
      <c r="G5" s="42">
        <v>3650</v>
      </c>
      <c r="H5" s="59" t="str">
        <f>H2</f>
        <v>days</v>
      </c>
    </row>
    <row r="6" spans="1:8" ht="13.8" thickBot="1" x14ac:dyDescent="0.3">
      <c r="A6" s="93" t="s">
        <v>31</v>
      </c>
      <c r="B6" s="94"/>
      <c r="C6" s="95" t="s">
        <v>21</v>
      </c>
      <c r="D6" s="39">
        <v>1.0683730877146116</v>
      </c>
      <c r="E6" s="92" t="str">
        <f>H2</f>
        <v>days</v>
      </c>
      <c r="F6" s="23" t="s">
        <v>29</v>
      </c>
      <c r="G6" s="19"/>
      <c r="H6" s="91" t="s">
        <v>11</v>
      </c>
    </row>
    <row r="7" spans="1:8" ht="13.8" thickBot="1" x14ac:dyDescent="0.3">
      <c r="A7" s="96" t="s">
        <v>27</v>
      </c>
      <c r="B7" s="97"/>
      <c r="C7" s="98" t="s">
        <v>23</v>
      </c>
      <c r="D7" s="20">
        <f>$G$2*D6+$G$3*(1-EXP(-((D6/$B$3)^$B$4)))+$G$4*(EXP(-((D6/$B$3)^$B$4))-EXP(-(((D6+G5)/$B$3)^$B$4)))</f>
        <v>4862.2964844148783</v>
      </c>
      <c r="E7" s="101"/>
      <c r="F7" s="21">
        <f>B9-D7</f>
        <v>107.57050110327964</v>
      </c>
      <c r="G7" s="22" t="s">
        <v>30</v>
      </c>
      <c r="H7" s="43">
        <v>0.05</v>
      </c>
    </row>
    <row r="8" spans="1:8" ht="40.200000000000003" thickBot="1" x14ac:dyDescent="0.3">
      <c r="A8" s="99" t="s">
        <v>5</v>
      </c>
      <c r="B8" s="100" t="s">
        <v>28</v>
      </c>
      <c r="C8" s="100" t="s">
        <v>24</v>
      </c>
      <c r="D8" s="100" t="s">
        <v>25</v>
      </c>
      <c r="E8" s="100" t="s">
        <v>26</v>
      </c>
      <c r="F8" s="100"/>
      <c r="G8" s="68"/>
      <c r="H8" s="66"/>
    </row>
    <row r="9" spans="1:8" x14ac:dyDescent="0.25">
      <c r="A9">
        <v>0</v>
      </c>
      <c r="B9" s="18">
        <f t="shared" ref="B9:B15" si="0">C9+D9+E9</f>
        <v>4969.8669855181579</v>
      </c>
      <c r="C9" s="18">
        <f t="shared" ref="C9:C15" si="1">$G$2*A9</f>
        <v>0</v>
      </c>
      <c r="D9" s="18">
        <f t="shared" ref="D9:D15" si="2">$G$3*(1-EXP(-((A9/$B$3)^$B$4)))</f>
        <v>0</v>
      </c>
      <c r="E9" s="18">
        <f t="shared" ref="E9:E15" si="3">$G$4*(EXP(-((A9/$B$3)^$B$4))-EXP(-(((A9+$G$5)/$B$3)^$B$4)))</f>
        <v>4969.8669855181579</v>
      </c>
    </row>
    <row r="10" spans="1:8" x14ac:dyDescent="0.25">
      <c r="A10">
        <f t="shared" ref="A10:A41" si="4">A9+$H$7</f>
        <v>0.05</v>
      </c>
      <c r="B10" s="18">
        <f t="shared" si="0"/>
        <v>4924.6169739874504</v>
      </c>
      <c r="C10" s="18">
        <f t="shared" si="1"/>
        <v>4</v>
      </c>
      <c r="D10" s="18">
        <f t="shared" si="2"/>
        <v>3.1269645048439374</v>
      </c>
      <c r="E10" s="18">
        <f t="shared" si="3"/>
        <v>4917.4900094826062</v>
      </c>
    </row>
    <row r="11" spans="1:8" x14ac:dyDescent="0.25">
      <c r="A11">
        <f t="shared" si="4"/>
        <v>0.1</v>
      </c>
      <c r="B11" s="18">
        <f t="shared" si="0"/>
        <v>4910.6860141210182</v>
      </c>
      <c r="C11" s="18">
        <f t="shared" si="1"/>
        <v>8</v>
      </c>
      <c r="D11" s="18">
        <f t="shared" si="2"/>
        <v>4.2661189451404073</v>
      </c>
      <c r="E11" s="18">
        <f t="shared" si="3"/>
        <v>4898.4198951758781</v>
      </c>
    </row>
    <row r="12" spans="1:8" x14ac:dyDescent="0.25">
      <c r="A12">
        <f t="shared" si="4"/>
        <v>0.15000000000000002</v>
      </c>
      <c r="B12" s="18">
        <f t="shared" si="0"/>
        <v>4901.3256735436489</v>
      </c>
      <c r="C12" s="18">
        <f t="shared" si="1"/>
        <v>12.000000000000002</v>
      </c>
      <c r="D12" s="18">
        <f t="shared" si="2"/>
        <v>5.1151776465381165</v>
      </c>
      <c r="E12" s="18">
        <f t="shared" si="3"/>
        <v>4884.2104958971104</v>
      </c>
    </row>
    <row r="13" spans="1:8" x14ac:dyDescent="0.25">
      <c r="A13">
        <f t="shared" si="4"/>
        <v>0.2</v>
      </c>
      <c r="B13" s="18">
        <f t="shared" si="0"/>
        <v>4894.2763256097624</v>
      </c>
      <c r="C13" s="18">
        <f t="shared" si="1"/>
        <v>16</v>
      </c>
      <c r="D13" s="18">
        <f t="shared" si="2"/>
        <v>5.8175583792082097</v>
      </c>
      <c r="E13" s="18">
        <f t="shared" si="3"/>
        <v>4872.4587672305543</v>
      </c>
    </row>
    <row r="14" spans="1:8" x14ac:dyDescent="0.25">
      <c r="A14">
        <f t="shared" si="4"/>
        <v>0.25</v>
      </c>
      <c r="B14" s="18">
        <f t="shared" si="0"/>
        <v>4888.6809842072935</v>
      </c>
      <c r="C14" s="18">
        <f t="shared" si="1"/>
        <v>20</v>
      </c>
      <c r="D14" s="18">
        <f t="shared" si="2"/>
        <v>6.4276537736769832</v>
      </c>
      <c r="E14" s="18">
        <f t="shared" si="3"/>
        <v>4862.2533304336166</v>
      </c>
    </row>
    <row r="15" spans="1:8" x14ac:dyDescent="0.25">
      <c r="A15">
        <f t="shared" si="4"/>
        <v>0.3</v>
      </c>
      <c r="B15" s="18">
        <f t="shared" si="0"/>
        <v>4884.1063275824117</v>
      </c>
      <c r="C15" s="18">
        <f t="shared" si="1"/>
        <v>24</v>
      </c>
      <c r="D15" s="18">
        <f t="shared" si="2"/>
        <v>6.9729666210907819</v>
      </c>
      <c r="E15" s="18">
        <f t="shared" si="3"/>
        <v>4853.1333609613212</v>
      </c>
    </row>
    <row r="16" spans="1:8" x14ac:dyDescent="0.25">
      <c r="A16">
        <f t="shared" si="4"/>
        <v>0.35</v>
      </c>
      <c r="B16" s="18">
        <f t="shared" ref="B16:B79" si="5">C16+D16+E16</f>
        <v>4880.2977307641704</v>
      </c>
      <c r="C16" s="18">
        <f t="shared" ref="C16:C79" si="6">$G$2*A16</f>
        <v>28</v>
      </c>
      <c r="D16" s="18">
        <f t="shared" ref="D16:D79" si="7">$G$3*(1-EXP(-((A16/$B$3)^$B$4)))</f>
        <v>7.4696578857553932</v>
      </c>
      <c r="E16" s="18">
        <f t="shared" ref="E16:E79" si="8">$G$4*(EXP(-((A16/$B$3)^$B$4))-EXP(-(((A16+$G$5)/$B$3)^$B$4)))</f>
        <v>4844.8280728784148</v>
      </c>
    </row>
    <row r="17" spans="1:5" x14ac:dyDescent="0.25">
      <c r="A17">
        <f t="shared" si="4"/>
        <v>0.39999999999999997</v>
      </c>
      <c r="B17" s="18">
        <f t="shared" si="5"/>
        <v>4877.0907600973796</v>
      </c>
      <c r="C17" s="18">
        <f t="shared" si="6"/>
        <v>31.999999999999996</v>
      </c>
      <c r="D17" s="18">
        <f t="shared" si="7"/>
        <v>7.9281641184237301</v>
      </c>
      <c r="E17" s="18">
        <f t="shared" si="8"/>
        <v>4837.1625959789562</v>
      </c>
    </row>
    <row r="18" spans="1:5" x14ac:dyDescent="0.25">
      <c r="A18">
        <f t="shared" si="4"/>
        <v>0.44999999999999996</v>
      </c>
      <c r="B18" s="18">
        <f t="shared" si="5"/>
        <v>4874.3720569867783</v>
      </c>
      <c r="C18" s="18">
        <f t="shared" si="6"/>
        <v>36</v>
      </c>
      <c r="D18" s="18">
        <f t="shared" si="7"/>
        <v>8.3556801523637585</v>
      </c>
      <c r="E18" s="18">
        <f t="shared" si="8"/>
        <v>4830.0163768344146</v>
      </c>
    </row>
    <row r="19" spans="1:5" x14ac:dyDescent="0.25">
      <c r="A19">
        <f t="shared" si="4"/>
        <v>0.49999999999999994</v>
      </c>
      <c r="B19" s="18">
        <f t="shared" si="5"/>
        <v>4872.0596244537992</v>
      </c>
      <c r="C19" s="18">
        <f t="shared" si="6"/>
        <v>39.999999999999993</v>
      </c>
      <c r="D19" s="18">
        <f t="shared" si="7"/>
        <v>8.7574103092058273</v>
      </c>
      <c r="E19" s="18">
        <f t="shared" si="8"/>
        <v>4823.3022141445936</v>
      </c>
    </row>
    <row r="20" spans="1:5" x14ac:dyDescent="0.25">
      <c r="A20">
        <f t="shared" si="4"/>
        <v>0.54999999999999993</v>
      </c>
      <c r="B20" s="18">
        <f t="shared" si="5"/>
        <v>4870.0919191513149</v>
      </c>
      <c r="C20" s="18">
        <f t="shared" si="6"/>
        <v>43.999999999999993</v>
      </c>
      <c r="D20" s="18">
        <f t="shared" si="7"/>
        <v>9.1372607252277138</v>
      </c>
      <c r="E20" s="18">
        <f t="shared" si="8"/>
        <v>4816.954658426087</v>
      </c>
    </row>
    <row r="21" spans="1:5" x14ac:dyDescent="0.25">
      <c r="A21">
        <f t="shared" si="4"/>
        <v>0.6</v>
      </c>
      <c r="B21" s="18">
        <f t="shared" si="5"/>
        <v>4868.4213761073679</v>
      </c>
      <c r="C21" s="18">
        <f t="shared" si="6"/>
        <v>48</v>
      </c>
      <c r="D21" s="18">
        <f t="shared" si="7"/>
        <v>9.4982503337696365</v>
      </c>
      <c r="E21" s="18">
        <f t="shared" si="8"/>
        <v>4810.9231257735983</v>
      </c>
    </row>
    <row r="22" spans="1:5" x14ac:dyDescent="0.25">
      <c r="A22">
        <f t="shared" si="4"/>
        <v>0.65</v>
      </c>
      <c r="B22" s="18">
        <f t="shared" si="5"/>
        <v>4867.0103475468577</v>
      </c>
      <c r="C22" s="18">
        <f t="shared" si="6"/>
        <v>52</v>
      </c>
      <c r="D22" s="18">
        <f t="shared" si="7"/>
        <v>9.8427686269049524</v>
      </c>
      <c r="E22" s="18">
        <f t="shared" si="8"/>
        <v>4805.1675789199526</v>
      </c>
    </row>
    <row r="23" spans="1:5" x14ac:dyDescent="0.25">
      <c r="A23">
        <f t="shared" si="4"/>
        <v>0.70000000000000007</v>
      </c>
      <c r="B23" s="18">
        <f t="shared" si="5"/>
        <v>4865.8284404578935</v>
      </c>
      <c r="C23" s="18">
        <f t="shared" si="6"/>
        <v>56.000000000000007</v>
      </c>
      <c r="D23" s="18">
        <f t="shared" si="7"/>
        <v>10.172744639239111</v>
      </c>
      <c r="E23" s="18">
        <f t="shared" si="8"/>
        <v>4799.6556958186547</v>
      </c>
    </row>
    <row r="24" spans="1:5" x14ac:dyDescent="0.25">
      <c r="A24">
        <f t="shared" si="4"/>
        <v>0.75000000000000011</v>
      </c>
      <c r="B24" s="18">
        <f t="shared" si="5"/>
        <v>4864.8507063158331</v>
      </c>
      <c r="C24" s="18">
        <f t="shared" si="6"/>
        <v>60.000000000000007</v>
      </c>
      <c r="D24" s="18">
        <f t="shared" si="7"/>
        <v>10.489761845538226</v>
      </c>
      <c r="E24" s="18">
        <f t="shared" si="8"/>
        <v>4794.3609444702952</v>
      </c>
    </row>
    <row r="25" spans="1:5" x14ac:dyDescent="0.25">
      <c r="A25">
        <f t="shared" si="4"/>
        <v>0.80000000000000016</v>
      </c>
      <c r="B25" s="18">
        <f t="shared" si="5"/>
        <v>4864.0563719879647</v>
      </c>
      <c r="C25" s="18">
        <f t="shared" si="6"/>
        <v>64.000000000000014</v>
      </c>
      <c r="D25" s="18">
        <f t="shared" si="7"/>
        <v>10.795138709797126</v>
      </c>
      <c r="E25" s="18">
        <f t="shared" si="8"/>
        <v>4789.2612332781673</v>
      </c>
    </row>
    <row r="26" spans="1:5" x14ac:dyDescent="0.25">
      <c r="A26">
        <f t="shared" si="4"/>
        <v>0.8500000000000002</v>
      </c>
      <c r="B26" s="18">
        <f t="shared" si="5"/>
        <v>4863.427926565304</v>
      </c>
      <c r="C26" s="18">
        <f t="shared" si="6"/>
        <v>68.000000000000014</v>
      </c>
      <c r="D26" s="18">
        <f t="shared" si="7"/>
        <v>11.089986643728672</v>
      </c>
      <c r="E26" s="18">
        <f t="shared" si="8"/>
        <v>4784.3379399215755</v>
      </c>
    </row>
    <row r="27" spans="1:5" x14ac:dyDescent="0.25">
      <c r="A27">
        <f t="shared" si="4"/>
        <v>0.90000000000000024</v>
      </c>
      <c r="B27" s="18">
        <f t="shared" si="5"/>
        <v>4862.9504493878339</v>
      </c>
      <c r="C27" s="18">
        <f t="shared" si="6"/>
        <v>72.000000000000014</v>
      </c>
      <c r="D27" s="18">
        <f t="shared" si="7"/>
        <v>11.375252656784573</v>
      </c>
      <c r="E27" s="18">
        <f t="shared" si="8"/>
        <v>4779.5751967310498</v>
      </c>
    </row>
    <row r="28" spans="1:5" x14ac:dyDescent="0.25">
      <c r="A28">
        <f t="shared" si="4"/>
        <v>0.95000000000000029</v>
      </c>
      <c r="B28" s="18">
        <f t="shared" si="5"/>
        <v>4862.6111057958533</v>
      </c>
      <c r="C28" s="18">
        <f t="shared" si="6"/>
        <v>76.000000000000028</v>
      </c>
      <c r="D28" s="18">
        <f t="shared" si="7"/>
        <v>11.651751360652685</v>
      </c>
      <c r="E28" s="18">
        <f t="shared" si="8"/>
        <v>4774.959354435201</v>
      </c>
    </row>
    <row r="29" spans="1:5" x14ac:dyDescent="0.25">
      <c r="A29">
        <f t="shared" si="4"/>
        <v>1.0000000000000002</v>
      </c>
      <c r="B29" s="18">
        <f t="shared" si="5"/>
        <v>4862.3987621837587</v>
      </c>
      <c r="C29" s="18">
        <f t="shared" si="6"/>
        <v>80.000000000000014</v>
      </c>
      <c r="D29" s="18">
        <f t="shared" si="7"/>
        <v>11.920189401669401</v>
      </c>
      <c r="E29" s="18">
        <f t="shared" si="8"/>
        <v>4770.478572782089</v>
      </c>
    </row>
    <row r="30" spans="1:5" x14ac:dyDescent="0.25">
      <c r="A30">
        <f t="shared" si="4"/>
        <v>1.0500000000000003</v>
      </c>
      <c r="B30" s="18">
        <f t="shared" si="5"/>
        <v>4862.3036876200822</v>
      </c>
      <c r="C30" s="18">
        <f t="shared" si="6"/>
        <v>84.000000000000028</v>
      </c>
      <c r="D30" s="18">
        <f t="shared" si="7"/>
        <v>12.181184398898464</v>
      </c>
      <c r="E30" s="18">
        <f t="shared" si="8"/>
        <v>4766.1225032211842</v>
      </c>
    </row>
    <row r="31" spans="1:5" x14ac:dyDescent="0.25">
      <c r="A31">
        <f t="shared" si="4"/>
        <v>1.1000000000000003</v>
      </c>
      <c r="B31" s="18">
        <f t="shared" si="5"/>
        <v>4862.3173194018254</v>
      </c>
      <c r="C31" s="18">
        <f t="shared" si="6"/>
        <v>88.000000000000028</v>
      </c>
      <c r="D31" s="18">
        <f t="shared" si="7"/>
        <v>12.435279824321944</v>
      </c>
      <c r="E31" s="18">
        <f t="shared" si="8"/>
        <v>4761.8820395775037</v>
      </c>
    </row>
    <row r="32" spans="1:5" x14ac:dyDescent="0.25">
      <c r="A32">
        <f t="shared" si="4"/>
        <v>1.1500000000000004</v>
      </c>
      <c r="B32" s="18">
        <f t="shared" si="5"/>
        <v>4862.4320765813918</v>
      </c>
      <c r="C32" s="18">
        <f t="shared" si="6"/>
        <v>92.000000000000028</v>
      </c>
      <c r="D32" s="18">
        <f t="shared" si="7"/>
        <v>12.682956838225001</v>
      </c>
      <c r="E32" s="18">
        <f t="shared" si="8"/>
        <v>4757.7491197431664</v>
      </c>
    </row>
    <row r="33" spans="1:5" x14ac:dyDescent="0.25">
      <c r="A33">
        <f t="shared" si="4"/>
        <v>1.2000000000000004</v>
      </c>
      <c r="B33" s="18">
        <f t="shared" si="5"/>
        <v>4862.6412100058496</v>
      </c>
      <c r="C33" s="18">
        <f t="shared" si="6"/>
        <v>96.000000000000028</v>
      </c>
      <c r="D33" s="18">
        <f t="shared" si="7"/>
        <v>12.924643807155073</v>
      </c>
      <c r="E33" s="18">
        <f t="shared" si="8"/>
        <v>4753.7165661986946</v>
      </c>
    </row>
    <row r="34" spans="1:5" x14ac:dyDescent="0.25">
      <c r="A34">
        <f t="shared" si="4"/>
        <v>1.2500000000000004</v>
      </c>
      <c r="B34" s="18">
        <f t="shared" si="5"/>
        <v>4862.9386805064942</v>
      </c>
      <c r="C34" s="18">
        <f t="shared" si="6"/>
        <v>100.00000000000003</v>
      </c>
      <c r="D34" s="18">
        <f t="shared" si="7"/>
        <v>13.160724035191084</v>
      </c>
      <c r="E34" s="18">
        <f t="shared" si="8"/>
        <v>4749.7779564713028</v>
      </c>
    </row>
    <row r="35" spans="1:5" x14ac:dyDescent="0.25">
      <c r="A35">
        <f t="shared" si="4"/>
        <v>1.3000000000000005</v>
      </c>
      <c r="B35" s="18">
        <f t="shared" si="5"/>
        <v>4863.3190590475797</v>
      </c>
      <c r="C35" s="18">
        <f t="shared" si="6"/>
        <v>104.00000000000004</v>
      </c>
      <c r="D35" s="18">
        <f t="shared" si="7"/>
        <v>13.39154210147106</v>
      </c>
      <c r="E35" s="18">
        <f t="shared" si="8"/>
        <v>4745.9275169461089</v>
      </c>
    </row>
    <row r="36" spans="1:5" x14ac:dyDescent="0.25">
      <c r="A36">
        <f t="shared" si="4"/>
        <v>1.3500000000000005</v>
      </c>
      <c r="B36" s="18">
        <f t="shared" si="5"/>
        <v>4863.7774441890051</v>
      </c>
      <c r="C36" s="18">
        <f t="shared" si="6"/>
        <v>108.00000000000004</v>
      </c>
      <c r="D36" s="18">
        <f t="shared" si="7"/>
        <v>13.617409098808508</v>
      </c>
      <c r="E36" s="18">
        <f t="shared" si="8"/>
        <v>4742.1600350901963</v>
      </c>
    </row>
    <row r="37" spans="1:5" x14ac:dyDescent="0.25">
      <c r="A37">
        <f t="shared" si="4"/>
        <v>1.4000000000000006</v>
      </c>
      <c r="B37" s="18">
        <f t="shared" si="5"/>
        <v>4864.309393335021</v>
      </c>
      <c r="C37" s="18">
        <f t="shared" si="6"/>
        <v>112.00000000000004</v>
      </c>
      <c r="D37" s="18">
        <f t="shared" si="7"/>
        <v>13.83860699731499</v>
      </c>
      <c r="E37" s="18">
        <f t="shared" si="8"/>
        <v>4738.4707863377062</v>
      </c>
    </row>
    <row r="38" spans="1:5" x14ac:dyDescent="0.25">
      <c r="A38">
        <f t="shared" si="4"/>
        <v>1.4500000000000006</v>
      </c>
      <c r="B38" s="18">
        <f t="shared" si="5"/>
        <v>4864.9108650594317</v>
      </c>
      <c r="C38" s="18">
        <f t="shared" si="6"/>
        <v>116.00000000000006</v>
      </c>
      <c r="D38" s="18">
        <f t="shared" si="7"/>
        <v>14.055392305000336</v>
      </c>
      <c r="E38" s="18">
        <f t="shared" si="8"/>
        <v>4734.8554727544315</v>
      </c>
    </row>
    <row r="39" spans="1:5" x14ac:dyDescent="0.25">
      <c r="A39">
        <f t="shared" si="4"/>
        <v>1.5000000000000007</v>
      </c>
      <c r="B39" s="18">
        <f t="shared" si="5"/>
        <v>4865.5781704048441</v>
      </c>
      <c r="C39" s="18">
        <f t="shared" si="6"/>
        <v>120.00000000000006</v>
      </c>
      <c r="D39" s="18">
        <f t="shared" si="7"/>
        <v>14.267999158794092</v>
      </c>
      <c r="E39" s="18">
        <f t="shared" si="8"/>
        <v>4731.3101712460502</v>
      </c>
    </row>
    <row r="40" spans="1:5" x14ac:dyDescent="0.25">
      <c r="A40">
        <f t="shared" si="4"/>
        <v>1.5500000000000007</v>
      </c>
      <c r="B40" s="18">
        <f t="shared" si="5"/>
        <v>4866.3079315089371</v>
      </c>
      <c r="C40" s="18">
        <f t="shared" si="6"/>
        <v>124.00000000000006</v>
      </c>
      <c r="D40" s="18">
        <f t="shared" si="7"/>
        <v>14.476641950522302</v>
      </c>
      <c r="E40" s="18">
        <f t="shared" si="8"/>
        <v>4727.8312895584149</v>
      </c>
    </row>
    <row r="41" spans="1:5" x14ac:dyDescent="0.25">
      <c r="A41">
        <f t="shared" si="4"/>
        <v>1.6000000000000008</v>
      </c>
      <c r="B41" s="18">
        <f t="shared" si="5"/>
        <v>4867.0970462560972</v>
      </c>
      <c r="C41" s="18">
        <f t="shared" si="6"/>
        <v>128.00000000000006</v>
      </c>
      <c r="D41" s="18">
        <f t="shared" si="7"/>
        <v>14.681517570456947</v>
      </c>
      <c r="E41" s="18">
        <f t="shared" si="8"/>
        <v>4724.4155286856403</v>
      </c>
    </row>
    <row r="42" spans="1:5" x14ac:dyDescent="0.25">
      <c r="A42">
        <f t="shared" ref="A42:A73" si="9">A41+$H$7</f>
        <v>1.6500000000000008</v>
      </c>
      <c r="B42" s="18">
        <f t="shared" si="5"/>
        <v>4867.942657917225</v>
      </c>
      <c r="C42" s="18">
        <f t="shared" si="6"/>
        <v>132.00000000000006</v>
      </c>
      <c r="D42" s="18">
        <f t="shared" si="7"/>
        <v>14.882807334267762</v>
      </c>
      <c r="E42" s="18">
        <f t="shared" si="8"/>
        <v>4721.0598505829576</v>
      </c>
    </row>
    <row r="43" spans="1:5" x14ac:dyDescent="0.25">
      <c r="A43">
        <f t="shared" si="9"/>
        <v>1.7000000000000008</v>
      </c>
      <c r="B43" s="18">
        <f t="shared" si="5"/>
        <v>4868.8421289448843</v>
      </c>
      <c r="C43" s="18">
        <f t="shared" si="6"/>
        <v>136.00000000000006</v>
      </c>
      <c r="D43" s="18">
        <f t="shared" si="7"/>
        <v>15.08067864623523</v>
      </c>
      <c r="E43" s="18">
        <f t="shared" si="8"/>
        <v>4717.7614502986489</v>
      </c>
    </row>
    <row r="44" spans="1:5" x14ac:dyDescent="0.25">
      <c r="A44">
        <f t="shared" si="9"/>
        <v>1.7500000000000009</v>
      </c>
      <c r="B44" s="18">
        <f t="shared" si="5"/>
        <v>4869.7930182503142</v>
      </c>
      <c r="C44" s="18">
        <f t="shared" si="6"/>
        <v>140.00000000000006</v>
      </c>
      <c r="D44" s="18">
        <f t="shared" si="7"/>
        <v>15.275286441471541</v>
      </c>
      <c r="E44" s="18">
        <f t="shared" si="8"/>
        <v>4714.5177318088427</v>
      </c>
    </row>
    <row r="45" spans="1:5" x14ac:dyDescent="0.25">
      <c r="A45">
        <f t="shared" si="9"/>
        <v>1.8000000000000009</v>
      </c>
      <c r="B45" s="18">
        <f t="shared" si="5"/>
        <v>4870.7930614139805</v>
      </c>
      <c r="C45" s="18">
        <f t="shared" si="6"/>
        <v>144.00000000000009</v>
      </c>
      <c r="D45" s="18">
        <f t="shared" si="7"/>
        <v>15.466774441950271</v>
      </c>
      <c r="E45" s="18">
        <f t="shared" si="8"/>
        <v>4711.3262869720302</v>
      </c>
    </row>
    <row r="46" spans="1:5" x14ac:dyDescent="0.25">
      <c r="A46">
        <f t="shared" si="9"/>
        <v>1.850000000000001</v>
      </c>
      <c r="B46" s="18">
        <f t="shared" si="5"/>
        <v>4871.8401533804508</v>
      </c>
      <c r="C46" s="18">
        <f t="shared" si="6"/>
        <v>148.00000000000009</v>
      </c>
      <c r="D46" s="18">
        <f t="shared" si="7"/>
        <v>15.655276254857132</v>
      </c>
      <c r="E46" s="18">
        <f t="shared" si="8"/>
        <v>4708.1848771255936</v>
      </c>
    </row>
    <row r="47" spans="1:5" x14ac:dyDescent="0.25">
      <c r="A47">
        <f t="shared" si="9"/>
        <v>1.900000000000001</v>
      </c>
      <c r="B47" s="18">
        <f t="shared" si="5"/>
        <v>4872.9323332673785</v>
      </c>
      <c r="C47" s="18">
        <f t="shared" si="6"/>
        <v>152.00000000000009</v>
      </c>
      <c r="D47" s="18">
        <f t="shared" si="7"/>
        <v>15.840916336759175</v>
      </c>
      <c r="E47" s="18">
        <f t="shared" si="8"/>
        <v>4705.0914169306188</v>
      </c>
    </row>
    <row r="48" spans="1:5" x14ac:dyDescent="0.25">
      <c r="A48">
        <f t="shared" si="9"/>
        <v>1.9500000000000011</v>
      </c>
      <c r="B48" s="18">
        <f t="shared" si="5"/>
        <v>4874.0677709817874</v>
      </c>
      <c r="C48" s="18">
        <f t="shared" si="6"/>
        <v>156.00000000000009</v>
      </c>
      <c r="D48" s="18">
        <f t="shared" si="7"/>
        <v>16.023810843064044</v>
      </c>
      <c r="E48" s="18">
        <f t="shared" si="8"/>
        <v>4702.0439601387234</v>
      </c>
    </row>
    <row r="49" spans="1:5" x14ac:dyDescent="0.25">
      <c r="A49">
        <f t="shared" si="9"/>
        <v>2.0000000000000009</v>
      </c>
      <c r="B49" s="18">
        <f t="shared" si="5"/>
        <v>4875.244755388092</v>
      </c>
      <c r="C49" s="18">
        <f t="shared" si="6"/>
        <v>160.00000000000006</v>
      </c>
      <c r="D49" s="18">
        <f t="shared" si="7"/>
        <v>16.204068378992808</v>
      </c>
      <c r="E49" s="18">
        <f t="shared" si="8"/>
        <v>4699.0406870090992</v>
      </c>
    </row>
    <row r="50" spans="1:5" x14ac:dyDescent="0.25">
      <c r="A50">
        <f t="shared" si="9"/>
        <v>2.0500000000000007</v>
      </c>
      <c r="B50" s="18">
        <f t="shared" si="5"/>
        <v>4876.4616838138172</v>
      </c>
      <c r="C50" s="18">
        <f t="shared" si="6"/>
        <v>164.00000000000006</v>
      </c>
      <c r="D50" s="18">
        <f t="shared" si="7"/>
        <v>16.381790665647856</v>
      </c>
      <c r="E50" s="18">
        <f t="shared" si="8"/>
        <v>4696.0798931481695</v>
      </c>
    </row>
    <row r="51" spans="1:5" x14ac:dyDescent="0.25">
      <c r="A51">
        <f t="shared" si="9"/>
        <v>2.1000000000000005</v>
      </c>
      <c r="B51" s="18">
        <f t="shared" si="5"/>
        <v>4877.7170527130493</v>
      </c>
      <c r="C51" s="18">
        <f t="shared" si="6"/>
        <v>168.00000000000006</v>
      </c>
      <c r="D51" s="18">
        <f t="shared" si="7"/>
        <v>16.55707313260098</v>
      </c>
      <c r="E51" s="18">
        <f t="shared" si="8"/>
        <v>4693.1599795804486</v>
      </c>
    </row>
    <row r="52" spans="1:5" x14ac:dyDescent="0.25">
      <c r="A52">
        <f t="shared" si="9"/>
        <v>2.1500000000000004</v>
      </c>
      <c r="B52" s="18">
        <f t="shared" si="5"/>
        <v>4879.0094493354964</v>
      </c>
      <c r="C52" s="18">
        <f t="shared" si="6"/>
        <v>172.00000000000003</v>
      </c>
      <c r="D52" s="18">
        <f t="shared" si="7"/>
        <v>16.730005446655316</v>
      </c>
      <c r="E52" s="18">
        <f t="shared" si="8"/>
        <v>4690.2794438888413</v>
      </c>
    </row>
    <row r="53" spans="1:5" x14ac:dyDescent="0.25">
      <c r="A53">
        <f t="shared" si="9"/>
        <v>2.2000000000000002</v>
      </c>
      <c r="B53" s="18">
        <f t="shared" si="5"/>
        <v>4880.3375442721035</v>
      </c>
      <c r="C53" s="18">
        <f t="shared" si="6"/>
        <v>176</v>
      </c>
      <c r="D53" s="18">
        <f t="shared" si="7"/>
        <v>16.900671984972721</v>
      </c>
      <c r="E53" s="18">
        <f t="shared" si="8"/>
        <v>4687.4368722871304</v>
      </c>
    </row>
    <row r="54" spans="1:5" x14ac:dyDescent="0.25">
      <c r="A54">
        <f t="shared" si="9"/>
        <v>2.25</v>
      </c>
      <c r="B54" s="18">
        <f t="shared" si="5"/>
        <v>4881.700084767278</v>
      </c>
      <c r="C54" s="18">
        <f t="shared" si="6"/>
        <v>180</v>
      </c>
      <c r="D54" s="18">
        <f t="shared" si="7"/>
        <v>17.069152259544584</v>
      </c>
      <c r="E54" s="18">
        <f t="shared" si="8"/>
        <v>4684.6309325077336</v>
      </c>
    </row>
    <row r="55" spans="1:5" x14ac:dyDescent="0.25">
      <c r="A55">
        <f t="shared" si="9"/>
        <v>2.2999999999999998</v>
      </c>
      <c r="B55" s="18">
        <f t="shared" si="5"/>
        <v>4883.0958887036759</v>
      </c>
      <c r="C55" s="18">
        <f t="shared" si="6"/>
        <v>184</v>
      </c>
      <c r="D55" s="18">
        <f t="shared" si="7"/>
        <v>17.235521298975687</v>
      </c>
      <c r="E55" s="18">
        <f t="shared" si="8"/>
        <v>4681.8603674046999</v>
      </c>
    </row>
    <row r="56" spans="1:5" x14ac:dyDescent="0.25">
      <c r="A56">
        <f t="shared" si="9"/>
        <v>2.3499999999999996</v>
      </c>
      <c r="B56" s="18">
        <f t="shared" si="5"/>
        <v>4884.5238391788434</v>
      </c>
      <c r="C56" s="18">
        <f t="shared" si="6"/>
        <v>187.99999999999997</v>
      </c>
      <c r="D56" s="18">
        <f t="shared" si="7"/>
        <v>17.399849992702798</v>
      </c>
      <c r="E56" s="18">
        <f t="shared" si="8"/>
        <v>4679.1239891861405</v>
      </c>
    </row>
    <row r="57" spans="1:5" x14ac:dyDescent="0.25">
      <c r="A57">
        <f t="shared" si="9"/>
        <v>2.3999999999999995</v>
      </c>
      <c r="B57" s="18">
        <f t="shared" si="5"/>
        <v>4885.9828796041793</v>
      </c>
      <c r="C57" s="18">
        <f t="shared" si="6"/>
        <v>191.99999999999994</v>
      </c>
      <c r="D57" s="18">
        <f t="shared" si="7"/>
        <v>17.562205402062052</v>
      </c>
      <c r="E57" s="18">
        <f t="shared" si="8"/>
        <v>4676.420674202117</v>
      </c>
    </row>
    <row r="58" spans="1:5" x14ac:dyDescent="0.25">
      <c r="A58">
        <f t="shared" si="9"/>
        <v>2.4499999999999993</v>
      </c>
      <c r="B58" s="18">
        <f t="shared" si="5"/>
        <v>4887.4720092661364</v>
      </c>
      <c r="C58" s="18">
        <f t="shared" si="6"/>
        <v>195.99999999999994</v>
      </c>
      <c r="D58" s="18">
        <f t="shared" si="7"/>
        <v>17.72265104201799</v>
      </c>
      <c r="E58" s="18">
        <f t="shared" si="8"/>
        <v>4673.7493582241186</v>
      </c>
    </row>
    <row r="59" spans="1:5" x14ac:dyDescent="0.25">
      <c r="A59">
        <f t="shared" si="9"/>
        <v>2.4999999999999991</v>
      </c>
      <c r="B59" s="18">
        <f t="shared" si="5"/>
        <v>4888.990279297569</v>
      </c>
      <c r="C59" s="18">
        <f t="shared" si="6"/>
        <v>199.99999999999994</v>
      </c>
      <c r="D59" s="18">
        <f t="shared" si="7"/>
        <v>17.881247136861113</v>
      </c>
      <c r="E59" s="18">
        <f t="shared" si="8"/>
        <v>4671.109032160708</v>
      </c>
    </row>
    <row r="60" spans="1:5" x14ac:dyDescent="0.25">
      <c r="A60">
        <f t="shared" si="9"/>
        <v>2.5499999999999989</v>
      </c>
      <c r="B60" s="18">
        <f t="shared" si="5"/>
        <v>4890.536789013905</v>
      </c>
      <c r="C60" s="18">
        <f t="shared" si="6"/>
        <v>203.99999999999991</v>
      </c>
      <c r="D60" s="18">
        <f t="shared" si="7"/>
        <v>18.038050852749176</v>
      </c>
      <c r="E60" s="18">
        <f t="shared" si="8"/>
        <v>4668.4987381611563</v>
      </c>
    </row>
    <row r="61" spans="1:5" x14ac:dyDescent="0.25">
      <c r="A61">
        <f t="shared" si="9"/>
        <v>2.5999999999999988</v>
      </c>
      <c r="B61" s="18">
        <f t="shared" si="5"/>
        <v>4892.1106825746656</v>
      </c>
      <c r="C61" s="18">
        <f t="shared" si="6"/>
        <v>207.99999999999989</v>
      </c>
      <c r="D61" s="18">
        <f t="shared" si="7"/>
        <v>18.193116509600298</v>
      </c>
      <c r="E61" s="18">
        <f t="shared" si="8"/>
        <v>4665.9175660650653</v>
      </c>
    </row>
    <row r="62" spans="1:5" x14ac:dyDescent="0.25">
      <c r="A62">
        <f t="shared" si="9"/>
        <v>2.6499999999999986</v>
      </c>
      <c r="B62" s="18">
        <f t="shared" si="5"/>
        <v>4893.7111459357284</v>
      </c>
      <c r="C62" s="18">
        <f t="shared" si="6"/>
        <v>211.99999999999989</v>
      </c>
      <c r="D62" s="18">
        <f t="shared" si="7"/>
        <v>18.346495774531164</v>
      </c>
      <c r="E62" s="18">
        <f t="shared" si="8"/>
        <v>4663.3646501611975</v>
      </c>
    </row>
    <row r="63" spans="1:5" x14ac:dyDescent="0.25">
      <c r="A63">
        <f t="shared" si="9"/>
        <v>2.6999999999999984</v>
      </c>
      <c r="B63" s="18">
        <f t="shared" si="5"/>
        <v>4895.3374040620583</v>
      </c>
      <c r="C63" s="18">
        <f t="shared" si="6"/>
        <v>215.99999999999989</v>
      </c>
      <c r="D63" s="18">
        <f t="shared" si="7"/>
        <v>18.498237838764314</v>
      </c>
      <c r="E63" s="18">
        <f t="shared" si="8"/>
        <v>4660.8391662232943</v>
      </c>
    </row>
    <row r="64" spans="1:5" x14ac:dyDescent="0.25">
      <c r="A64">
        <f t="shared" si="9"/>
        <v>2.7499999999999982</v>
      </c>
      <c r="B64" s="18">
        <f t="shared" si="5"/>
        <v>4896.9887183742558</v>
      </c>
      <c r="C64" s="18">
        <f t="shared" si="6"/>
        <v>219.99999999999986</v>
      </c>
      <c r="D64" s="18">
        <f t="shared" si="7"/>
        <v>18.64838957969517</v>
      </c>
      <c r="E64" s="18">
        <f t="shared" si="8"/>
        <v>4658.3403287945612</v>
      </c>
    </row>
    <row r="65" spans="1:5" x14ac:dyDescent="0.25">
      <c r="A65">
        <f t="shared" si="9"/>
        <v>2.799999999999998</v>
      </c>
      <c r="B65" s="18">
        <f t="shared" si="5"/>
        <v>4898.6643844054033</v>
      </c>
      <c r="C65" s="18">
        <f t="shared" si="6"/>
        <v>223.99999999999983</v>
      </c>
      <c r="D65" s="18">
        <f t="shared" si="7"/>
        <v>18.796995709610847</v>
      </c>
      <c r="E65" s="18">
        <f t="shared" si="8"/>
        <v>4655.8673886957922</v>
      </c>
    </row>
    <row r="66" spans="1:5" x14ac:dyDescent="0.25">
      <c r="A66">
        <f t="shared" si="9"/>
        <v>2.8499999999999979</v>
      </c>
      <c r="B66" s="18">
        <f t="shared" si="5"/>
        <v>4900.3637296474926</v>
      </c>
      <c r="C66" s="18">
        <f t="shared" si="6"/>
        <v>227.99999999999983</v>
      </c>
      <c r="D66" s="18">
        <f t="shared" si="7"/>
        <v>18.944098912376695</v>
      </c>
      <c r="E66" s="18">
        <f t="shared" si="8"/>
        <v>4653.4196307351158</v>
      </c>
    </row>
    <row r="67" spans="1:5" x14ac:dyDescent="0.25">
      <c r="A67">
        <f t="shared" si="9"/>
        <v>2.8999999999999977</v>
      </c>
      <c r="B67" s="18">
        <f t="shared" si="5"/>
        <v>4902.0861115690468</v>
      </c>
      <c r="C67" s="18">
        <f t="shared" si="6"/>
        <v>231.99999999999983</v>
      </c>
      <c r="D67" s="18">
        <f t="shared" si="7"/>
        <v>19.089739969257675</v>
      </c>
      <c r="E67" s="18">
        <f t="shared" si="8"/>
        <v>4650.9963715997892</v>
      </c>
    </row>
    <row r="68" spans="1:5" x14ac:dyDescent="0.25">
      <c r="A68">
        <f t="shared" si="9"/>
        <v>2.9499999999999975</v>
      </c>
      <c r="B68" s="18">
        <f t="shared" si="5"/>
        <v>4903.830915787591</v>
      </c>
      <c r="C68" s="18">
        <f t="shared" si="6"/>
        <v>235.9999999999998</v>
      </c>
      <c r="D68" s="18">
        <f t="shared" si="7"/>
        <v>19.233957874910391</v>
      </c>
      <c r="E68" s="18">
        <f t="shared" si="8"/>
        <v>4648.5969579126804</v>
      </c>
    </row>
    <row r="69" spans="1:5" x14ac:dyDescent="0.25">
      <c r="A69">
        <f t="shared" si="9"/>
        <v>2.9999999999999973</v>
      </c>
      <c r="B69" s="18">
        <f t="shared" si="5"/>
        <v>4905.597554382518</v>
      </c>
      <c r="C69" s="18">
        <f t="shared" si="6"/>
        <v>239.99999999999977</v>
      </c>
      <c r="D69" s="18">
        <f t="shared" si="7"/>
        <v>19.376789944465528</v>
      </c>
      <c r="E69" s="18">
        <f t="shared" si="8"/>
        <v>4646.2207644380524</v>
      </c>
    </row>
    <row r="70" spans="1:5" x14ac:dyDescent="0.25">
      <c r="A70">
        <f t="shared" si="9"/>
        <v>3.0499999999999972</v>
      </c>
      <c r="B70" s="18">
        <f t="shared" si="5"/>
        <v>4907.3854643353661</v>
      </c>
      <c r="C70" s="18">
        <f t="shared" si="6"/>
        <v>243.99999999999977</v>
      </c>
      <c r="D70" s="18">
        <f t="shared" si="7"/>
        <v>19.518271912522568</v>
      </c>
      <c r="E70" s="18">
        <f t="shared" si="8"/>
        <v>4643.8671924228438</v>
      </c>
    </row>
    <row r="71" spans="1:5" x14ac:dyDescent="0.25">
      <c r="A71">
        <f t="shared" si="9"/>
        <v>3.099999999999997</v>
      </c>
      <c r="B71" s="18">
        <f t="shared" si="5"/>
        <v>4909.1941060860017</v>
      </c>
      <c r="C71" s="18">
        <f t="shared" si="6"/>
        <v>247.99999999999977</v>
      </c>
      <c r="D71" s="18">
        <f t="shared" si="7"/>
        <v>19.658438024788577</v>
      </c>
      <c r="E71" s="18">
        <f t="shared" si="8"/>
        <v>4641.5356680612131</v>
      </c>
    </row>
    <row r="72" spans="1:5" x14ac:dyDescent="0.25">
      <c r="A72">
        <f t="shared" si="9"/>
        <v>3.1499999999999968</v>
      </c>
      <c r="B72" s="18">
        <f t="shared" si="5"/>
        <v>4911.0229621943336</v>
      </c>
      <c r="C72" s="18">
        <f t="shared" si="6"/>
        <v>251.99999999999974</v>
      </c>
      <c r="D72" s="18">
        <f t="shared" si="7"/>
        <v>19.797321123018623</v>
      </c>
      <c r="E72" s="18">
        <f t="shared" si="8"/>
        <v>4639.2256410713153</v>
      </c>
    </row>
    <row r="73" spans="1:5" x14ac:dyDescent="0.25">
      <c r="A73">
        <f t="shared" si="9"/>
        <v>3.1999999999999966</v>
      </c>
      <c r="B73" s="18">
        <f t="shared" si="5"/>
        <v>4912.8715360983388</v>
      </c>
      <c r="C73" s="18">
        <f t="shared" si="6"/>
        <v>255.99999999999972</v>
      </c>
      <c r="D73" s="18">
        <f t="shared" si="7"/>
        <v>19.934952723843512</v>
      </c>
      <c r="E73" s="18">
        <f t="shared" si="8"/>
        <v>4636.936583374496</v>
      </c>
    </row>
    <row r="74" spans="1:5" x14ac:dyDescent="0.25">
      <c r="A74">
        <f t="shared" ref="A74:A81" si="10">A73+$H$7</f>
        <v>3.2499999999999964</v>
      </c>
      <c r="B74" s="18">
        <f t="shared" si="5"/>
        <v>4914.7393509600497</v>
      </c>
      <c r="C74" s="18">
        <f t="shared" si="6"/>
        <v>259.99999999999972</v>
      </c>
      <c r="D74" s="18">
        <f t="shared" si="7"/>
        <v>20.071363092014998</v>
      </c>
      <c r="E74" s="18">
        <f t="shared" si="8"/>
        <v>4634.6679878680352</v>
      </c>
    </row>
    <row r="75" spans="1:5" x14ac:dyDescent="0.25">
      <c r="A75">
        <f t="shared" si="10"/>
        <v>3.2999999999999963</v>
      </c>
      <c r="B75" s="18">
        <f t="shared" si="5"/>
        <v>4916.6259485920218</v>
      </c>
      <c r="C75" s="18">
        <f t="shared" si="6"/>
        <v>263.99999999999972</v>
      </c>
      <c r="D75" s="18">
        <f t="shared" si="7"/>
        <v>20.206581308541733</v>
      </c>
      <c r="E75" s="18">
        <f t="shared" si="8"/>
        <v>4632.4193672834808</v>
      </c>
    </row>
    <row r="76" spans="1:5" x14ac:dyDescent="0.25">
      <c r="A76">
        <f t="shared" si="10"/>
        <v>3.3499999999999961</v>
      </c>
      <c r="B76" s="18">
        <f t="shared" si="5"/>
        <v>4918.5308884575597</v>
      </c>
      <c r="C76" s="18">
        <f t="shared" si="6"/>
        <v>267.99999999999966</v>
      </c>
      <c r="D76" s="18">
        <f t="shared" si="7"/>
        <v>20.340635334145251</v>
      </c>
      <c r="E76" s="18">
        <f t="shared" si="8"/>
        <v>4630.1902531234145</v>
      </c>
    </row>
    <row r="77" spans="1:5" x14ac:dyDescent="0.25">
      <c r="A77">
        <f t="shared" si="10"/>
        <v>3.3999999999999959</v>
      </c>
      <c r="B77" s="18">
        <f t="shared" si="5"/>
        <v>4920.4537467385953</v>
      </c>
      <c r="C77" s="18">
        <f t="shared" si="6"/>
        <v>271.99999999999966</v>
      </c>
      <c r="D77" s="18">
        <f t="shared" si="7"/>
        <v>20.473552068421309</v>
      </c>
      <c r="E77" s="18">
        <f t="shared" si="8"/>
        <v>4627.9801946701746</v>
      </c>
    </row>
    <row r="78" spans="1:5" x14ac:dyDescent="0.25">
      <c r="A78">
        <f t="shared" si="10"/>
        <v>3.4499999999999957</v>
      </c>
      <c r="B78" s="18">
        <f t="shared" si="5"/>
        <v>4922.394115465715</v>
      </c>
      <c r="C78" s="18">
        <f t="shared" si="6"/>
        <v>275.99999999999966</v>
      </c>
      <c r="D78" s="18">
        <f t="shared" si="7"/>
        <v>20.605357405056544</v>
      </c>
      <c r="E78" s="18">
        <f t="shared" si="8"/>
        <v>4625.7887580606584</v>
      </c>
    </row>
    <row r="79" spans="1:5" x14ac:dyDescent="0.25">
      <c r="A79">
        <f t="shared" si="10"/>
        <v>3.4999999999999956</v>
      </c>
      <c r="B79" s="18">
        <f t="shared" si="5"/>
        <v>4924.3516017053707</v>
      </c>
      <c r="C79" s="18">
        <f t="shared" si="6"/>
        <v>279.99999999999966</v>
      </c>
      <c r="D79" s="18">
        <f t="shared" si="7"/>
        <v>20.736076283416288</v>
      </c>
      <c r="E79" s="18">
        <f t="shared" si="8"/>
        <v>4623.6155254219548</v>
      </c>
    </row>
    <row r="80" spans="1:5" x14ac:dyDescent="0.25">
      <c r="A80">
        <f t="shared" si="10"/>
        <v>3.5499999999999954</v>
      </c>
      <c r="B80" s="18">
        <f>C80+D80+E80</f>
        <v>4926.3258267997326</v>
      </c>
      <c r="C80" s="18">
        <f>$G$2*A80</f>
        <v>283.99999999999966</v>
      </c>
      <c r="D80" s="18">
        <f>$G$3*(1-EXP(-((A80/$B$3)^$B$4)))</f>
        <v>20.865732736790342</v>
      </c>
      <c r="E80" s="18">
        <f>$G$4*(EXP(-((A80/$B$3)^$B$4))-EXP(-(((A80+$G$5)/$B$3)^$B$4)))</f>
        <v>4621.4600940629425</v>
      </c>
    </row>
    <row r="81" spans="1:5" x14ac:dyDescent="0.25">
      <c r="A81">
        <f t="shared" si="10"/>
        <v>3.5999999999999952</v>
      </c>
      <c r="B81" s="18">
        <f>C81+D81+E81</f>
        <v>4928.3164256551136</v>
      </c>
      <c r="C81" s="18">
        <f>$G$2*A81</f>
        <v>287.9999999999996</v>
      </c>
      <c r="D81" s="18">
        <f>$G$3*(1-EXP(-((A81/$B$3)^$B$4)))</f>
        <v>20.994349937557178</v>
      </c>
      <c r="E81" s="18">
        <f>$G$4*(EXP(-((A81/$B$3)^$B$4))-EXP(-(((A81+$G$5)/$B$3)^$B$4)))</f>
        <v>4619.3220757175568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DSMT4" shapeId="7185" r:id="rId3">
          <objectPr defaultSize="0" autoPict="0" r:id="rId4">
            <anchor moveWithCells="1" sizeWithCells="1">
              <from>
                <xdr:col>5</xdr:col>
                <xdr:colOff>60960</xdr:colOff>
                <xdr:row>25</xdr:row>
                <xdr:rowOff>38100</xdr:rowOff>
              </from>
              <to>
                <xdr:col>12</xdr:col>
                <xdr:colOff>312420</xdr:colOff>
                <xdr:row>30</xdr:row>
                <xdr:rowOff>60960</xdr:rowOff>
              </to>
            </anchor>
          </objectPr>
        </oleObject>
      </mc:Choice>
      <mc:Fallback>
        <oleObject progId="Equation.DSMT4" shapeId="7185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9"/>
  <sheetViews>
    <sheetView workbookViewId="0">
      <selection activeCell="I7" sqref="I7"/>
    </sheetView>
  </sheetViews>
  <sheetFormatPr defaultRowHeight="13.2" x14ac:dyDescent="0.25"/>
  <cols>
    <col min="1" max="1" width="5.88671875" customWidth="1"/>
    <col min="2" max="2" width="8.88671875" customWidth="1"/>
    <col min="3" max="3" width="8.6640625" customWidth="1"/>
    <col min="6" max="6" width="10.5546875" bestFit="1" customWidth="1"/>
  </cols>
  <sheetData>
    <row r="1" spans="1:7" ht="14.4" thickBot="1" x14ac:dyDescent="0.3">
      <c r="A1" s="3"/>
      <c r="B1" s="29" t="s">
        <v>43</v>
      </c>
      <c r="C1" s="5"/>
      <c r="D1" s="5"/>
      <c r="E1" s="5"/>
      <c r="F1" s="6"/>
    </row>
    <row r="2" spans="1:7" x14ac:dyDescent="0.25">
      <c r="B2" t="s">
        <v>48</v>
      </c>
    </row>
    <row r="3" spans="1:7" ht="13.8" thickBot="1" x14ac:dyDescent="0.3">
      <c r="B3" t="s">
        <v>49</v>
      </c>
    </row>
    <row r="4" spans="1:7" ht="14.4" thickBot="1" x14ac:dyDescent="0.3">
      <c r="B4" s="102" t="s">
        <v>44</v>
      </c>
      <c r="C4" s="103" t="s">
        <v>45</v>
      </c>
      <c r="D4" s="103" t="s">
        <v>33</v>
      </c>
      <c r="E4" s="103" t="s">
        <v>34</v>
      </c>
      <c r="F4" s="104" t="s">
        <v>47</v>
      </c>
      <c r="G4" s="105" t="s">
        <v>46</v>
      </c>
    </row>
    <row r="5" spans="1:7" ht="14.4" thickBot="1" x14ac:dyDescent="0.3">
      <c r="B5" s="33">
        <v>0.99</v>
      </c>
      <c r="C5" s="34">
        <v>0.9</v>
      </c>
      <c r="D5" s="34">
        <v>70</v>
      </c>
      <c r="E5" s="35">
        <v>3</v>
      </c>
      <c r="F5" s="48">
        <f>BINOMDIST(E5,D5,1-B5,TRUE)</f>
        <v>0.99457114242142541</v>
      </c>
      <c r="G5" s="49">
        <f>BINOMDIST(E5,D5,1-C5,TRUE)</f>
        <v>7.1230572263102504E-2</v>
      </c>
    </row>
    <row r="6" spans="1:7" ht="13.8" thickBot="1" x14ac:dyDescent="0.3"/>
    <row r="7" spans="1:7" ht="13.8" thickBot="1" x14ac:dyDescent="0.3">
      <c r="B7" s="89" t="s">
        <v>52</v>
      </c>
      <c r="C7" s="50" t="s">
        <v>54</v>
      </c>
      <c r="D7" s="51">
        <v>0.01</v>
      </c>
    </row>
    <row r="8" spans="1:7" ht="26.4" x14ac:dyDescent="0.25">
      <c r="B8" s="106" t="s">
        <v>53</v>
      </c>
      <c r="C8" s="106" t="s">
        <v>55</v>
      </c>
    </row>
    <row r="9" spans="1:7" x14ac:dyDescent="0.25">
      <c r="B9" s="52">
        <v>0</v>
      </c>
      <c r="C9" s="53">
        <f>BINOMDIST($E$5,$D$5,B9,TRUE)</f>
        <v>1</v>
      </c>
    </row>
    <row r="10" spans="1:7" x14ac:dyDescent="0.25">
      <c r="B10" s="54">
        <f t="shared" ref="B10:B16" si="0">B9+$D$7</f>
        <v>0.01</v>
      </c>
      <c r="C10" s="55">
        <f t="shared" ref="C10:C39" si="1">BINOMDIST($E$5,$D$5,B10,TRUE)</f>
        <v>0.99457114242142541</v>
      </c>
    </row>
    <row r="11" spans="1:7" x14ac:dyDescent="0.25">
      <c r="B11" s="54">
        <f t="shared" si="0"/>
        <v>0.02</v>
      </c>
      <c r="C11" s="55">
        <f t="shared" si="1"/>
        <v>0.94810140039981872</v>
      </c>
    </row>
    <row r="12" spans="1:7" x14ac:dyDescent="0.25">
      <c r="B12" s="54">
        <f t="shared" si="0"/>
        <v>0.03</v>
      </c>
      <c r="C12" s="55">
        <f t="shared" si="1"/>
        <v>0.84126942007266436</v>
      </c>
    </row>
    <row r="13" spans="1:7" x14ac:dyDescent="0.25">
      <c r="B13" s="54">
        <f t="shared" si="0"/>
        <v>0.04</v>
      </c>
      <c r="C13" s="55">
        <f t="shared" si="1"/>
        <v>0.69288822494118463</v>
      </c>
    </row>
    <row r="14" spans="1:7" x14ac:dyDescent="0.25">
      <c r="B14" s="54">
        <f t="shared" si="0"/>
        <v>0.05</v>
      </c>
      <c r="C14" s="55">
        <f t="shared" si="1"/>
        <v>0.53387450652334656</v>
      </c>
    </row>
    <row r="15" spans="1:7" x14ac:dyDescent="0.25">
      <c r="B15" s="54">
        <f t="shared" si="0"/>
        <v>6.0000000000000005E-2</v>
      </c>
      <c r="C15" s="55">
        <f t="shared" si="1"/>
        <v>0.38851129934673018</v>
      </c>
    </row>
    <row r="16" spans="1:7" x14ac:dyDescent="0.25">
      <c r="B16" s="54">
        <f t="shared" si="0"/>
        <v>7.0000000000000007E-2</v>
      </c>
      <c r="C16" s="55">
        <f t="shared" si="1"/>
        <v>0.26929482094953333</v>
      </c>
    </row>
    <row r="17" spans="2:3" x14ac:dyDescent="0.25">
      <c r="B17" s="54">
        <f t="shared" ref="B17:B39" si="2">B16+$D$7</f>
        <v>0.08</v>
      </c>
      <c r="C17" s="55">
        <f t="shared" si="1"/>
        <v>0.17901670516075424</v>
      </c>
    </row>
    <row r="18" spans="2:3" x14ac:dyDescent="0.25">
      <c r="B18" s="54">
        <f t="shared" si="2"/>
        <v>0.09</v>
      </c>
      <c r="C18" s="55">
        <f t="shared" si="1"/>
        <v>0.11475088858757052</v>
      </c>
    </row>
    <row r="19" spans="2:3" x14ac:dyDescent="0.25">
      <c r="B19" s="54">
        <f t="shared" si="2"/>
        <v>9.9999999999999992E-2</v>
      </c>
      <c r="C19" s="55">
        <f t="shared" si="1"/>
        <v>7.1230572263102448E-2</v>
      </c>
    </row>
    <row r="20" spans="2:3" x14ac:dyDescent="0.25">
      <c r="B20" s="54">
        <f t="shared" si="2"/>
        <v>0.10999999999999999</v>
      </c>
      <c r="C20" s="55">
        <f t="shared" si="1"/>
        <v>4.2961855708292342E-2</v>
      </c>
    </row>
    <row r="21" spans="2:3" x14ac:dyDescent="0.25">
      <c r="B21" s="54">
        <f t="shared" si="2"/>
        <v>0.11999999999999998</v>
      </c>
      <c r="C21" s="55">
        <f t="shared" si="1"/>
        <v>2.5244194392598677E-2</v>
      </c>
    </row>
    <row r="22" spans="2:3" x14ac:dyDescent="0.25">
      <c r="B22" s="54">
        <f t="shared" si="2"/>
        <v>0.12999999999999998</v>
      </c>
      <c r="C22" s="55">
        <f t="shared" si="1"/>
        <v>1.4481831644228508E-2</v>
      </c>
    </row>
    <row r="23" spans="2:3" x14ac:dyDescent="0.25">
      <c r="B23" s="54">
        <f t="shared" si="2"/>
        <v>0.13999999999999999</v>
      </c>
      <c r="C23" s="55">
        <f t="shared" si="1"/>
        <v>8.124714414714523E-3</v>
      </c>
    </row>
    <row r="24" spans="2:3" x14ac:dyDescent="0.25">
      <c r="B24" s="54">
        <f t="shared" si="2"/>
        <v>0.15</v>
      </c>
      <c r="C24" s="55">
        <f t="shared" si="1"/>
        <v>4.4638615205441585E-3</v>
      </c>
    </row>
    <row r="25" spans="2:3" x14ac:dyDescent="0.25">
      <c r="B25" s="54">
        <f t="shared" si="2"/>
        <v>0.16</v>
      </c>
      <c r="C25" s="55">
        <f t="shared" si="1"/>
        <v>2.4044297922306392E-3</v>
      </c>
    </row>
    <row r="26" spans="2:3" x14ac:dyDescent="0.25">
      <c r="B26" s="54">
        <f t="shared" si="2"/>
        <v>0.17</v>
      </c>
      <c r="C26" s="55">
        <f t="shared" si="1"/>
        <v>1.2708685281419795E-3</v>
      </c>
    </row>
    <row r="27" spans="2:3" x14ac:dyDescent="0.25">
      <c r="B27" s="54">
        <f t="shared" si="2"/>
        <v>0.18000000000000002</v>
      </c>
      <c r="C27" s="55">
        <f t="shared" si="1"/>
        <v>6.5961300896221549E-4</v>
      </c>
    </row>
    <row r="28" spans="2:3" x14ac:dyDescent="0.25">
      <c r="B28" s="54">
        <f t="shared" si="2"/>
        <v>0.19000000000000003</v>
      </c>
      <c r="C28" s="55">
        <f t="shared" si="1"/>
        <v>3.3637869980546095E-4</v>
      </c>
    </row>
    <row r="29" spans="2:3" x14ac:dyDescent="0.25">
      <c r="B29" s="54">
        <f t="shared" si="2"/>
        <v>0.20000000000000004</v>
      </c>
      <c r="C29" s="55">
        <f t="shared" si="1"/>
        <v>1.6862307951149021E-4</v>
      </c>
    </row>
    <row r="30" spans="2:3" x14ac:dyDescent="0.25">
      <c r="B30" s="54">
        <f t="shared" si="2"/>
        <v>0.21000000000000005</v>
      </c>
      <c r="C30" s="55">
        <f t="shared" si="1"/>
        <v>8.3120731062326836E-5</v>
      </c>
    </row>
    <row r="31" spans="2:3" x14ac:dyDescent="0.25">
      <c r="B31" s="54">
        <f t="shared" si="2"/>
        <v>0.22000000000000006</v>
      </c>
      <c r="C31" s="55">
        <f t="shared" si="1"/>
        <v>4.0301612102369956E-5</v>
      </c>
    </row>
    <row r="32" spans="2:3" x14ac:dyDescent="0.25">
      <c r="B32" s="54">
        <f t="shared" si="2"/>
        <v>0.23000000000000007</v>
      </c>
      <c r="C32" s="55">
        <f t="shared" si="1"/>
        <v>1.9223858664529693E-5</v>
      </c>
    </row>
    <row r="33" spans="2:3" x14ac:dyDescent="0.25">
      <c r="B33" s="54">
        <f t="shared" si="2"/>
        <v>0.24000000000000007</v>
      </c>
      <c r="C33" s="55">
        <f t="shared" si="1"/>
        <v>9.0223495381464612E-6</v>
      </c>
    </row>
    <row r="34" spans="2:3" x14ac:dyDescent="0.25">
      <c r="B34" s="54">
        <f t="shared" si="2"/>
        <v>0.25000000000000006</v>
      </c>
      <c r="C34" s="55">
        <f t="shared" si="1"/>
        <v>4.166681347235518E-6</v>
      </c>
    </row>
    <row r="35" spans="2:3" x14ac:dyDescent="0.25">
      <c r="B35" s="54">
        <f t="shared" si="2"/>
        <v>0.26000000000000006</v>
      </c>
      <c r="C35" s="55">
        <f t="shared" si="1"/>
        <v>1.8934790138961625E-6</v>
      </c>
    </row>
    <row r="36" spans="2:3" x14ac:dyDescent="0.25">
      <c r="B36" s="54">
        <f t="shared" si="2"/>
        <v>0.27000000000000007</v>
      </c>
      <c r="C36" s="55">
        <f t="shared" si="1"/>
        <v>8.4667704839846838E-7</v>
      </c>
    </row>
    <row r="37" spans="2:3" x14ac:dyDescent="0.25">
      <c r="B37" s="54">
        <f t="shared" si="2"/>
        <v>0.28000000000000008</v>
      </c>
      <c r="C37" s="55">
        <f t="shared" si="1"/>
        <v>3.7250394876287589E-7</v>
      </c>
    </row>
    <row r="38" spans="2:3" x14ac:dyDescent="0.25">
      <c r="B38" s="54">
        <f t="shared" si="2"/>
        <v>0.29000000000000009</v>
      </c>
      <c r="C38" s="55">
        <f t="shared" si="1"/>
        <v>1.6123193056989537E-7</v>
      </c>
    </row>
    <row r="39" spans="2:3" x14ac:dyDescent="0.25">
      <c r="B39" s="56">
        <f t="shared" si="2"/>
        <v>0.3000000000000001</v>
      </c>
      <c r="C39" s="57">
        <f t="shared" si="1"/>
        <v>6.8645679991312614E-8</v>
      </c>
    </row>
  </sheetData>
  <sheetProtection password="DC2F" sheet="1" objects="1" scenarios="1" formatCells="0"/>
  <protectedRanges>
    <protectedRange sqref="D7" name="Range2"/>
    <protectedRange sqref="B5:E5" name="Range1"/>
  </protectedRanges>
  <pageMargins left="0.7" right="0.7" top="0.75" bottom="0.75" header="0.3" footer="0.3"/>
  <pageSetup orientation="portrait" horizontalDpi="4294967293" verticalDpi="0" r:id="rId1"/>
  <drawing r:id="rId2"/>
  <legacyDrawing r:id="rId3"/>
  <oleObjects>
    <mc:AlternateContent xmlns:mc="http://schemas.openxmlformats.org/markup-compatibility/2006">
      <mc:Choice Requires="x14">
        <oleObject progId="Equation.DSMT4" shapeId="46081" r:id="rId4">
          <objectPr defaultSize="0" autoPict="0" r:id="rId5">
            <anchor moveWithCells="1" sizeWithCells="1">
              <from>
                <xdr:col>7</xdr:col>
                <xdr:colOff>373380</xdr:colOff>
                <xdr:row>0</xdr:row>
                <xdr:rowOff>0</xdr:rowOff>
              </from>
              <to>
                <xdr:col>12</xdr:col>
                <xdr:colOff>0</xdr:colOff>
                <xdr:row>4</xdr:row>
                <xdr:rowOff>38100</xdr:rowOff>
              </to>
            </anchor>
          </objectPr>
        </oleObject>
      </mc:Choice>
      <mc:Fallback>
        <oleObject progId="Equation.DSMT4" shapeId="46081" r:id="rId4"/>
      </mc:Fallback>
    </mc:AlternateContent>
    <mc:AlternateContent xmlns:mc="http://schemas.openxmlformats.org/markup-compatibility/2006">
      <mc:Choice Requires="x14">
        <oleObject progId="Equation.DSMT4" shapeId="46082" r:id="rId6">
          <objectPr defaultSize="0" autoPict="0" r:id="rId7">
            <anchor moveWithCells="1" sizeWithCells="1">
              <from>
                <xdr:col>7</xdr:col>
                <xdr:colOff>350520</xdr:colOff>
                <xdr:row>3</xdr:row>
                <xdr:rowOff>160020</xdr:rowOff>
              </from>
              <to>
                <xdr:col>11</xdr:col>
                <xdr:colOff>350520</xdr:colOff>
                <xdr:row>8</xdr:row>
                <xdr:rowOff>76200</xdr:rowOff>
              </to>
            </anchor>
          </objectPr>
        </oleObject>
      </mc:Choice>
      <mc:Fallback>
        <oleObject progId="Equation.DSMT4" shapeId="46082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test-time</vt:lpstr>
      <vt:lpstr>burn-in #1</vt:lpstr>
      <vt:lpstr>burn-in #2</vt:lpstr>
      <vt:lpstr>Binomial Acceptance</vt:lpstr>
    </vt:vector>
  </TitlesOfParts>
  <Company>University of Dayton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Ebeling</dc:creator>
  <cp:lastModifiedBy>Jason Freels</cp:lastModifiedBy>
  <dcterms:created xsi:type="dcterms:W3CDTF">2008-12-16T19:26:57Z</dcterms:created>
  <dcterms:modified xsi:type="dcterms:W3CDTF">2017-09-18T01:11:58Z</dcterms:modified>
</cp:coreProperties>
</file>